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de5e18a85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570ca9bfbdc419a"/>
    <x:sheet xmlns:r="http://schemas.openxmlformats.org/officeDocument/2006/relationships" name="Historical" sheetId="2" r:id="R8e798ed1d80b45b1"/>
    <x:sheet xmlns:r="http://schemas.openxmlformats.org/officeDocument/2006/relationships" name="Assumptions" sheetId="3" r:id="Rf36778c937c74111"/>
    <x:sheet xmlns:r="http://schemas.openxmlformats.org/officeDocument/2006/relationships" name="Operating Model" sheetId="4" r:id="R1690c93a36174965"/>
    <x:sheet xmlns:r="http://schemas.openxmlformats.org/officeDocument/2006/relationships" name="DCF" sheetId="5" r:id="R544e12ab8c724271"/>
    <x:sheet xmlns:r="http://schemas.openxmlformats.org/officeDocument/2006/relationships" name="Comps" sheetId="6" r:id="R13a2fcb27b9c4382"/>
    <x:sheet xmlns:r="http://schemas.openxmlformats.org/officeDocument/2006/relationships" name="SOTP" sheetId="7" r:id="Ra3ca306d13444a11"/>
    <x:sheet xmlns:r="http://schemas.openxmlformats.org/officeDocument/2006/relationships" name="Checks" sheetId="8" r:id="R203e9f6529984650"/>
    <x:sheet xmlns:r="http://schemas.openxmlformats.org/officeDocument/2006/relationships" name="Build Guide" sheetId="9" r:id="Re32d59b5f6ea4ad0"/>
    <x:sheet xmlns:r="http://schemas.openxmlformats.org/officeDocument/2006/relationships" name="Sources" sheetId="10" r:id="R393ac06d10a6420f"/>
  </x:sheets>
</x:workbook>
</file>

<file path=xl/comments1.xml><?xml version="1.0" encoding="utf-8"?>
<x:comments xmlns:x="http://schemas.openxmlformats.org/spreadsheetml/2006/main">
  <x:authors>
    <x:author>tc={3C2027C9-A83B-C2EE-EB48-F43D2DB211BD}</x:author>
    <x:author>tc={4A7C766D-2CB1-D97E-A81E-1E6AAF0494D1}</x:author>
    <x:author>tc={D40875DA-E04F-6DB1-02A2-6FFF08C8056E}</x:author>
    <x:author>tc={A2EE124E-EE06-AC96-6BCE-F4FC98978003}</x:author>
    <x:author>tc={7F0BB602-1724-A84D-6B62-7020462949FB}</x:author>
    <x:author>tc={DBBBF984-18AE-C443-2478-C227E5F45A26}</x:author>
    <x:author>tc={A5FB6A53-7B21-7713-78BF-08E7B9CD276E}</x:author>
    <x:author>tc={89471FC2-DC9F-D91B-7CF8-5A801628C690}</x:author>
    <x:author>tc={7CCD629E-719F-FA86-2710-813EC5C69F0C}</x:author>
    <x:author>tc={E79CCEB7-8517-3DBF-BD19-CE70B81E6230}</x:author>
    <x:author>tc={2E67D25C-8CC9-5681-9CFA-5A3F0A71AA4B}</x:author>
    <x:author>tc={FEC42025-13AF-0AAF-30B8-28321DE16BC3}</x:author>
    <x:author>tc={9574D880-06A7-ACCC-8178-22DD3F57B597}</x:author>
    <x:author>tc={B2466D8C-BCA2-D955-ADE5-C2A0B144FD21}</x:author>
    <x:author>tc={DEB03C91-8ADD-BDF5-804F-9BB18B3BAD36}</x:author>
    <x:author>tc={65F32053-861E-6C0B-71F9-24D081E0C785}</x:author>
    <x:author>tc={235202EA-5C4B-3EB9-6F06-C2407072ECA9}</x:author>
    <x:author>tc={D55AF089-E9E1-7EBF-8CD2-B5B37DCFF914}</x:author>
    <x:author>tc={6F246314-E8D6-80A8-267C-7B4F12AF0C14}</x:author>
    <x:author>tc={5F0D6980-98F3-801F-739E-8A64D2A71AC3}</x:author>
    <x:author>tc={C3C5CAB1-30B3-72EF-6674-8A3A866497EA}</x:author>
    <x:author>tc={2CFE7D08-47DE-B59F-F20A-EF827FE19DCA}</x:author>
    <x:author>tc={78928B87-F5CE-695B-8D33-BFC345462EF0}</x:author>
    <x:author>tc={CBA20586-2A02-559F-235E-6697CA90B91C}</x:author>
    <x:author>tc={E5127D69-20EA-EB43-487D-C0CF82394F83}</x:author>
    <x:author>tc={9E54F8C5-8F74-1318-5ECC-5744A80666F3}</x:author>
    <x:author>tc={36B9BCB6-C245-C026-AE95-1E6C73B839EE}</x:author>
    <x:author>tc={5EFBA54E-6255-49BB-4E65-43EEC474B8A6}</x:author>
    <x:author>tc={D9FABC8B-7EC8-2D6D-A564-9CDB9DC53316}</x:author>
    <x:author>tc={5B313C93-9424-44B1-9916-31C281211BF6}</x:author>
    <x:author>tc={9B35E955-1594-2F32-51CA-4C8D4760BACA}</x:author>
    <x:author>tc={2A551E43-730A-57F1-C744-663C2B667EA8}</x:author>
    <x:author>tc={E4455564-BE78-6E89-4E28-09002B02F2E5}</x:author>
    <x:author>tc={F777BCD1-BB9B-A0F0-6202-4F1A96F6B2DF}</x:author>
    <x:author>tc={E8A33A58-9E44-975A-E58E-FB5C52B16449}</x:author>
    <x:author>tc={791296D1-344A-5B7F-0559-1B4634ED34C7}</x:author>
    <x:author>tc={65A05D44-4795-A04E-3694-010BADB25D08}</x:author>
    <x:author>tc={216869BF-E0CD-1930-07E1-9ECB454DED15}</x:author>
    <x:author>tc={9C39579B-D164-BACD-3CBA-613DA2F3ADE1}</x:author>
    <x:author>tc={58AA9D4F-3492-809B-B8F3-4B389B17BD2F}</x:author>
    <x:author>tc={99ECF421-B924-8C6F-08AA-A025B5CA111B}</x:author>
    <x:author>tc={C97C161C-9A50-8314-B3BC-A7A786FFAC6D}</x:author>
    <x:author>tc={9125371A-EACD-9996-6C65-CC8725C024BA}</x:author>
    <x:author>tc={02BE4C4D-81D7-329C-C783-37E2A0D768E2}</x:author>
    <x:author>tc={E2FDA96E-D7F4-DE51-4EB2-3123B0DB84DC}</x:author>
    <x:author>tc={9358BA0B-7B21-C1F2-05B7-4694564FEBC2}</x:author>
    <x:author>tc={B7891C1F-E9C6-28A1-8D9A-5EEE51C5ABEE}</x:author>
    <x:author>tc={DF64E21C-98C6-62DC-75AC-3C3CE010B21F}</x:author>
    <x:author>tc={7ADDE255-C29F-54C6-03E0-C8470229C3BD}</x:author>
    <x:author>tc={E92FDBE2-352C-D333-1D83-3FDBDC333641}</x:author>
    <x:author>tc={A2E89C52-F9B4-985E-F778-9926F767725A}</x:author>
    <x:author>tc={A129CD35-C098-96FE-7DFD-0EB3EA8260BE}</x:author>
    <x:author>tc={EA03236F-DB63-AA00-E5DE-74FD4CCCD03E}</x:author>
    <x:author>tc={C515852E-5B34-F08D-835A-F3B6A4C761D1}</x:author>
    <x:author>tc={8502473F-324D-53D9-803F-7B7FD03B92DF}</x:author>
    <x:author>tc={9A07570E-02AB-9840-5C75-AD0802EB626D}</x:author>
    <x:author>tc={DDA2BA3B-8B7A-47FF-37B5-F2F461F458FB}</x:author>
    <x:author>tc={A25FDA5C-1A47-128D-DA9E-B84EAD56FE7F}</x:author>
    <x:author>tc={36452293-AF7F-1F1A-EC07-FEE68F40BE1C}</x:author>
    <x:author>tc={7C5E54F1-A4A9-2378-35E0-6F543B11752C}</x:author>
    <x:author>tc={DBAF82D4-8A36-C86C-F766-698D91ADA814}</x:author>
    <x:author>tc={06A7ADA8-F9E7-48D8-DD0C-E30DCEDDEA1D}</x:author>
    <x:author>tc={B0E2F68A-1F0C-3E9C-53CB-2716E79C6F4A}</x:author>
    <x:author>tc={9898FF98-2BCF-6513-2B10-B300F43229B9}</x:author>
    <x:author>tc={2CF52406-AD9D-B8B7-71DA-20CA1268D66E}</x:author>
    <x:author>tc={9ACC7E46-BA52-CA31-E5BE-EC2B1EE09BD1}</x:author>
    <x:author>tc={7D9E96D7-186C-B574-BCDC-9E409EC0F39D}</x:author>
    <x:author>tc={8F005D61-C20B-DFE3-6768-36D8FCAFC7F5}</x:author>
    <x:author>tc={E3F69E80-701C-F10B-8DE6-487A8DA8F73E}</x:author>
    <x:author>tc={B82567D0-B1F0-4FBD-C817-08D6B1192323}</x:author>
    <x:author>tc={DBA56613-184D-7104-CB97-1F156BC00319}</x:author>
    <x:author>tc={A8E34F0F-28B9-DA2B-C8DC-632782E53A6B}</x:author>
    <x:author>tc={D022B3C8-97F8-EE2B-FF84-F60C4CB0A617}</x:author>
    <x:author>tc={18E16F38-D134-8FD7-BB2A-F6AFB18C903E}</x:author>
    <x:author>tc={813AB325-902D-BEE6-98B8-C29019FB3C50}</x:author>
    <x:author>tc={6D692D47-A99F-D28E-6BFD-7A17915855FC}</x:author>
    <x:author>tc={805CFE0B-EC66-35E5-87D8-B20CE7547D73}</x:author>
    <x:author>tc={6FC77CA3-1234-D971-28FE-C532BF4840F4}</x:author>
    <x:author>tc={E09F061F-C92D-A3AF-D824-215B574086E7}</x:author>
    <x:author>tc={E082D603-C676-D860-D7F1-EAF37DADF700}</x:author>
    <x:author>tc={BF0C5A58-D8D7-5BA0-A503-2E40E6ABC3CF}</x:author>
    <x:author>tc={64A38E71-522A-CF02-7C25-0BB2B66F779E}</x:author>
    <x:author>tc={59C7F6D1-8CA5-28ED-08AA-6F68FE16D847}</x:author>
    <x:author>tc={44575651-58A4-B4D6-088E-C37EB14DE23E}</x:author>
    <x:author>tc={03374E59-0C05-FD1E-ED84-5E9EC19C6F3C}</x:author>
    <x:author>tc={60552AC4-3E91-A27B-148F-8331807ACC78}</x:author>
    <x:author>tc={21F28995-A4B6-EB4F-CB29-0E7A4E78DDB2}</x:author>
    <x:author>tc={476EB1B6-529B-2B60-F379-38904D73C0BF}</x:author>
    <x:author>tc={B354EB50-67C9-15B5-D393-8EDC13DDE161}</x:author>
    <x:author>tc={2CBC7A3C-ECF2-58D6-7DCE-699E8508687F}</x:author>
    <x:author>tc={D1222306-82A9-3388-BCC2-CCA14CB33411}</x:author>
    <x:author>tc={96D9035D-AD89-C0C6-8C45-B148B26CF700}</x:author>
    <x:author>tc={E2B8CB00-CFBF-C7AF-59D2-7F5C79A9957D}</x:author>
    <x:author>tc={B643077B-1E8C-2D5E-8BA3-21C9A4E46327}</x:author>
    <x:author>tc={52A5B7DF-357C-0AEA-FC8E-D471F3F198BA}</x:author>
    <x:author>tc={E2C5F9E4-189A-679B-8487-0D7CC178E810}</x:author>
    <x:author>tc={F2780464-E81A-D61F-5529-5BD9688AF748}</x:author>
    <x:author>tc={99A90F13-1744-C65F-18C8-4215979E6ABA}</x:author>
    <x:author>tc={C4520D22-56DD-0AF7-F134-6C125A126739}</x:author>
    <x:author>tc={46C73FE6-D48E-140D-BF51-CEE16478B569}</x:author>
    <x:author>tc={F8C49E6D-2D94-4498-6A56-48069069C6BB}</x:author>
    <x:author>tc={E94A7A5E-A05B-FCE7-484C-A64EA28B703C}</x:author>
    <x:author>tc={43BC71E8-488E-F5E3-4BB9-E2AA71459083}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1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1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1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1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1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1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1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1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1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14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14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14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15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15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1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1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1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1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17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1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17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18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18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18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19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19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19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20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C20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D2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S03; see Sources sheet.</x:t>
        </x:r>
      </x:text>
    </x:comment>
    <x:comment ref="B21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C2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D21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historical input. Source S01; see Sources sheet.</x:t>
        </x:r>
      </x:text>
    </x:comment>
    <x:comment ref="B26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26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2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2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26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27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27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27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27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27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28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28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28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28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28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29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2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2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29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29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0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0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0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0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0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1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1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1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1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1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2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2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2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2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2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3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3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3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3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3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4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4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4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4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4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5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5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5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5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5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B36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C36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D36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E36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  <x:comment ref="F36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quarterly input. Source S03/S05; see Sources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tc={7DB0B8BC-00E3-A33A-92B4-C70B5AC526B0}</x:author>
    <x:author>tc={022D39AB-83AB-68A5-B3E8-DB822C4BD0BA}</x:author>
  </x:authors>
  <x:commentList>
    <x:comment ref="B3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WACC is a model judgment. Rebuild from risk-free rate, beta, equity risk premium, after-tax cost of debt and capital structure before publishing.</x:t>
        </x:r>
      </x:text>
    </x:comment>
    <x:comment ref="B3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Terminal growth should remain consistent with long-run nominal growth and terminal reinvestment needs.</x:t>
        </x:r>
      </x:text>
    </x:comment>
  </x:commentList>
</x:comments>
</file>

<file path=xl/comments3.xml><?xml version="1.0" encoding="utf-8"?>
<x:comments xmlns:x="http://schemas.openxmlformats.org/spreadsheetml/2006/main">
  <x:authors>
    <x:author>tc={3099F2CB-C9C2-E7B1-C94A-33AF02384C56}</x:author>
  </x:authors>
  <x:commentList>
    <x:comment ref="E2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2026E adjusted EPS must be derived from revenue, segment margins, corporate cost, interest, tax and shares. Do not hardcode this output.</x:t>
        </x:r>
      </x:text>
    </x:comment>
  </x:commentList>
</x:comments>
</file>

<file path=xl/comments4.xml><?xml version="1.0" encoding="utf-8"?>
<x:comments xmlns:x="http://schemas.openxmlformats.org/spreadsheetml/2006/main">
  <x:authors>
    <x:author>tc={75085B54-4892-12DF-D714-D528D3FFFC5E}</x:author>
  </x:authors>
  <x:commentList>
    <x:comment ref="B2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DCF value per share uses mid-year discounting and Gordon growth. Review the sensitivity table before relying on the point estimate.</x:t>
        </x:r>
      </x:text>
    </x:comment>
  </x:commentList>
</x:comments>
</file>

<file path=xl/comments5.xml><?xml version="1.0" encoding="utf-8"?>
<x:comments xmlns:x="http://schemas.openxmlformats.org/spreadsheetml/2006/main">
  <x:authors>
    <x:author>tc={8DF0E445-A631-3DCD-2404-96E6D953BEBC}</x:author>
  </x:authors>
  <x:commentList>
    <x:comment ref="C2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SOTP uses 2027 segment income. Multiples are editable judgments and should be refreshed against current EV/EBITA trading data.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yyyy&quot;A&quot;"/>
    <x:numFmt numFmtId="202" formatCode="#,##0.0;[Red](#,##0.0);-"/>
    <x:numFmt numFmtId="203" formatCode="0.0%;[Red](0.0%);-"/>
    <x:numFmt numFmtId="204" formatCode="$0.00;[Red]($0.00);-"/>
    <x:numFmt numFmtId="205" formatCode="&quot;Q&quot;q yyyy"/>
    <x:numFmt numFmtId="206" formatCode="yyyy&quot;E&quot;"/>
    <x:numFmt numFmtId="207" formatCode="0.0x"/>
    <x:numFmt numFmtId="208" formatCode="0.000x"/>
    <x:numFmt numFmtId="209" formatCode="0.0x;[Red](0.0x);-"/>
  </x:numFmts>
  <x:fonts count="11">
    <x:font>
      <x:sz val="11"/>
      <x:name val="Carlito"/>
    </x:font>
    <x:font>
      <x:b/>
      <x:sz val="16"/>
      <x:color rgb="FFFFFFFF"/>
      <x:name val="Arial"/>
    </x:font>
    <x:font>
      <x:i/>
      <x:sz val="9"/>
      <x:color rgb="FF666666"/>
      <x:name val="Arial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  <x:font>
      <x:b/>
      <x:sz val="1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00000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201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left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0" borderId="2" xfId="0" applyNumberFormat="1" applyFont="1" applyFill="1" applyBorder="1"/>
    <x:xf numFmtId="202" fontId="3" fillId="0" borderId="2" xfId="0" applyNumberFormat="1" applyFont="1" applyFill="1" applyBorder="1"/>
    <x:xf numFmtId="205" fontId="0" fillId="0" borderId="0" xfId="0" applyNumberFormat="1" applyFont="1" applyFill="1" applyBorder="1"/>
    <x:xf numFmtId="205" fontId="0" fillId="4" borderId="0" xfId="0" applyNumberFormat="1" applyFont="1" applyFill="1" applyBorder="1"/>
    <x:xf numFmtId="205" fontId="3" fillId="4" borderId="0" xfId="0" applyNumberFormat="1" applyFont="1" applyFill="1" applyBorder="1"/>
    <x:xf numFmtId="205" fontId="3" fillId="4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6" borderId="0" xfId="0" applyNumberFormat="1" applyFont="1" applyFill="1" applyBorder="1"/>
    <x:xf numFmtId="206" fontId="3" fillId="4" borderId="0" xfId="0" applyNumberFormat="1" applyFont="1" applyFill="1" applyBorder="1"/>
    <x:xf numFmtId="206" fontId="3" fillId="4" borderId="0" xfId="0" applyNumberFormat="1" applyFont="1" applyFill="1" applyBorder="1" applyAlignment="1">
      <x:alignment horizontal="right"/>
    </x:xf>
    <x:xf numFmtId="203" fontId="5" fillId="6" borderId="0" xfId="0" applyNumberFormat="1" applyFont="1" applyFill="1" applyBorder="1"/>
    <x:xf numFmtId="202" fontId="5" fillId="6" borderId="0" xfId="0" applyNumberFormat="1" applyFont="1" applyFill="1" applyBorder="1"/>
    <x:xf numFmtId="204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6" fontId="0" fillId="0" borderId="0" xfId="0" applyNumberFormat="1" applyFont="1" applyFill="1" applyBorder="1"/>
    <x:xf numFmtId="206" fontId="0" fillId="4" borderId="0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6" fillId="0" borderId="0" xfId="0" applyNumberFormat="1" applyFont="1" applyFill="1" applyBorder="1"/>
    <x:xf numFmtId="203" fontId="7" fillId="0" borderId="0" xfId="0" applyNumberFormat="1" applyFont="1" applyFill="1" applyBorder="1"/>
    <x:xf numFmtId="202" fontId="8" fillId="0" borderId="0" xfId="0" applyNumberFormat="1" applyFont="1" applyFill="1" applyBorder="1"/>
    <x:xf numFmtId="202" fontId="9" fillId="0" borderId="0" xfId="0" applyNumberFormat="1" applyFont="1" applyFill="1" applyBorder="1"/>
    <x:xf numFmtId="202" fontId="8" fillId="0" borderId="2" xfId="0" applyNumberFormat="1" applyFont="1" applyFill="1" applyBorder="1"/>
    <x:xf numFmtId="202" fontId="9" fillId="0" borderId="2" xfId="0" applyNumberFormat="1" applyFont="1" applyFill="1" applyBorder="1"/>
    <x:xf numFmtId="204" fontId="7" fillId="0" borderId="0" xfId="0" applyNumberFormat="1" applyFont="1" applyFill="1" applyBorder="1"/>
    <x:xf numFmtId="204" fontId="6" fillId="0" borderId="0" xfId="0" applyNumberFormat="1" applyFont="1" applyFill="1" applyBorder="1"/>
    <x:xf numFmtId="204" fontId="8" fillId="0" borderId="0" xfId="0" applyNumberFormat="1" applyFont="1" applyFill="1" applyBorder="1"/>
    <x:xf numFmtId="204" fontId="9" fillId="0" borderId="0" xfId="0" applyNumberFormat="1" applyFont="1" applyFill="1" applyBorder="1"/>
    <x:xf numFmtId="204" fontId="8" fillId="0" borderId="2" xfId="0" applyNumberFormat="1" applyFont="1" applyFill="1" applyBorder="1"/>
    <x:xf numFmtId="204" fontId="9" fillId="0" borderId="2" xfId="0" applyNumberFormat="1" applyFont="1" applyFill="1" applyBorder="1"/>
    <x:xf numFmtId="207" fontId="6" fillId="0" borderId="0" xfId="0" applyNumberFormat="1" applyFont="1" applyFill="1" applyBorder="1"/>
    <x:xf numFmtId="208" fontId="6" fillId="0" borderId="0" xfId="0" applyNumberFormat="1" applyFont="1" applyFill="1" applyBorder="1"/>
    <x:xf numFmtId="203" fontId="0" fillId="4" borderId="0" xfId="0" applyNumberFormat="1" applyFont="1" applyFill="1" applyBorder="1"/>
    <x:xf numFmtId="203" fontId="3" fillId="4" borderId="0" xfId="0" applyNumberFormat="1" applyFont="1" applyFill="1" applyBorder="1"/>
    <x:xf numFmtId="203" fontId="3" fillId="4" borderId="0" xfId="0" applyNumberFormat="1" applyFont="1" applyFill="1" applyBorder="1" applyAlignment="1">
      <x:alignment horizontal="right"/>
    </x:xf>
    <x:xf numFmtId="209" fontId="5" fillId="6" borderId="0" xfId="0" applyNumberFormat="1" applyFont="1" applyFill="1" applyBorder="1"/>
    <x:xf numFmtId="209" fontId="6" fillId="0" borderId="0" xfId="0" applyNumberFormat="1" applyFont="1" applyFill="1" applyBorder="1"/>
    <x:xf numFmtId="209" fontId="9" fillId="0" borderId="0" xfId="0" applyNumberFormat="1" applyFont="1" applyFill="1" applyBorder="1"/>
    <x:xf numFmtId="209" fontId="9" fillId="0" borderId="2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3" fontId="9" fillId="0" borderId="0" xfId="0" applyNumberFormat="1" applyFont="1" applyFill="1" applyBorder="1"/>
    <x:xf numFmtId="203" fontId="9" fillId="0" borderId="2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857a97af148c8" /><Relationship Type="http://schemas.openxmlformats.org/officeDocument/2006/relationships/theme" Target="/xl/theme/theme1.xml" Id="Re3b9c8e543b64f00" /><Relationship Type="http://schemas.openxmlformats.org/officeDocument/2006/relationships/sharedStrings" Target="/xl/sharedStrings.xml" Id="R4921202c649a4b2e" /><Relationship Type="http://schemas.openxmlformats.org/officeDocument/2006/relationships/worksheet" Target="/xl/worksheets/sheet1.xml" Id="R1570ca9bfbdc419a" /><Relationship Type="http://schemas.openxmlformats.org/officeDocument/2006/relationships/worksheet" Target="/xl/worksheets/sheet2.xml" Id="R8e798ed1d80b45b1" /><Relationship Type="http://schemas.openxmlformats.org/officeDocument/2006/relationships/worksheet" Target="/xl/worksheets/sheet3.xml" Id="Rf36778c937c74111" /><Relationship Type="http://schemas.openxmlformats.org/officeDocument/2006/relationships/worksheet" Target="/xl/worksheets/sheet4.xml" Id="R1690c93a36174965" /><Relationship Type="http://schemas.openxmlformats.org/officeDocument/2006/relationships/worksheet" Target="/xl/worksheets/sheet5.xml" Id="R544e12ab8c724271" /><Relationship Type="http://schemas.openxmlformats.org/officeDocument/2006/relationships/worksheet" Target="/xl/worksheets/sheet6.xml" Id="R13a2fcb27b9c4382" /><Relationship Type="http://schemas.openxmlformats.org/officeDocument/2006/relationships/worksheet" Target="/xl/worksheets/sheet7.xml" Id="Ra3ca306d13444a11" /><Relationship Type="http://schemas.openxmlformats.org/officeDocument/2006/relationships/worksheet" Target="/xl/worksheets/sheet8.xml" Id="R203e9f6529984650" /><Relationship Type="http://schemas.openxmlformats.org/officeDocument/2006/relationships/worksheet" Target="/xl/worksheets/sheet9.xml" Id="Re32d59b5f6ea4ad0" /><Relationship Type="http://schemas.openxmlformats.org/officeDocument/2006/relationships/worksheet" Target="/xl/worksheets/sheet10.xml" Id="R393ac06d10a6420f" /><Relationship Type="http://schemas.microsoft.com/office/2017/10/relationships/person" Target="/xl/persons/person.xml" Id="R7dc3fb3f97dc40ba" /></Relationships>
</file>

<file path=xl/persons/person.xml><?xml version="1.0" encoding="utf-8"?>
<xltc:personList xmlns:xltc="http://schemas.microsoft.com/office/spreadsheetml/2018/threadedcomments">
  <xltc:person displayName="Zhang Shuxin" id="{3CA1B9D8-C4B6-43FB-8C7E-A3DFB07EDC6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22T20:15:40.311" personId="{3CA1B9D8-C4B6-43FB-8C7E-A3DFB07EDC6D}" id="{3C2027C9-A83B-C2EE-EB48-F43D2DB211BD}">
    <xltc:text>Imported historical input. Source S01; see Sources sheet.</xltc:text>
  </xltc:threadedComment>
  <xltc:threadedComment ref="C6" dT="2026-07-22T20:15:40.312" personId="{3CA1B9D8-C4B6-43FB-8C7E-A3DFB07EDC6D}" id="{4A7C766D-2CB1-D97E-A81E-1E6AAF0494D1}">
    <xltc:text>Imported historical input. Source S01; see Sources sheet.</xltc:text>
  </xltc:threadedComment>
  <xltc:threadedComment ref="D6" dT="2026-07-22T20:15:40.312" personId="{3CA1B9D8-C4B6-43FB-8C7E-A3DFB07EDC6D}" id="{D40875DA-E04F-6DB1-02A2-6FFF08C8056E}">
    <xltc:text>Imported historical input. Source S01; see Sources sheet.</xltc:text>
  </xltc:threadedComment>
  <xltc:threadedComment ref="B7" dT="2026-07-22T20:15:40.312" personId="{3CA1B9D8-C4B6-43FB-8C7E-A3DFB07EDC6D}" id="{A2EE124E-EE06-AC96-6BCE-F4FC98978003}">
    <xltc:text>Imported historical input. Source S01; see Sources sheet.</xltc:text>
  </xltc:threadedComment>
  <xltc:threadedComment ref="C7" dT="2026-07-22T20:15:40.312" personId="{3CA1B9D8-C4B6-43FB-8C7E-A3DFB07EDC6D}" id="{7F0BB602-1724-A84D-6B62-7020462949FB}">
    <xltc:text>Imported historical input. Source S01; see Sources sheet.</xltc:text>
  </xltc:threadedComment>
  <xltc:threadedComment ref="D7" dT="2026-07-22T20:15:40.312" personId="{3CA1B9D8-C4B6-43FB-8C7E-A3DFB07EDC6D}" id="{DBBBF984-18AE-C443-2478-C227E5F45A26}">
    <xltc:text>Imported historical input. Source S01; see Sources sheet.</xltc:text>
  </xltc:threadedComment>
  <xltc:threadedComment ref="B8" dT="2026-07-22T20:15:40.312" personId="{3CA1B9D8-C4B6-43FB-8C7E-A3DFB07EDC6D}" id="{A5FB6A53-7B21-7713-78BF-08E7B9CD276E}">
    <xltc:text>Imported historical input. Source S01; see Sources sheet.</xltc:text>
  </xltc:threadedComment>
  <xltc:threadedComment ref="C8" dT="2026-07-22T20:15:40.312" personId="{3CA1B9D8-C4B6-43FB-8C7E-A3DFB07EDC6D}" id="{89471FC2-DC9F-D91B-7CF8-5A801628C690}">
    <xltc:text>Imported historical input. Source S01; see Sources sheet.</xltc:text>
  </xltc:threadedComment>
  <xltc:threadedComment ref="D8" dT="2026-07-22T20:15:40.312" personId="{3CA1B9D8-C4B6-43FB-8C7E-A3DFB07EDC6D}" id="{7CCD629E-719F-FA86-2710-813EC5C69F0C}">
    <xltc:text>Imported historical input. Source S01; see Sources sheet.</xltc:text>
  </xltc:threadedComment>
  <xltc:threadedComment ref="B9" dT="2026-07-22T20:15:40.312" personId="{3CA1B9D8-C4B6-43FB-8C7E-A3DFB07EDC6D}" id="{E79CCEB7-8517-3DBF-BD19-CE70B81E6230}">
    <xltc:text>Imported historical input. Source S01; see Sources sheet.</xltc:text>
  </xltc:threadedComment>
  <xltc:threadedComment ref="C9" dT="2026-07-22T20:15:40.312" personId="{3CA1B9D8-C4B6-43FB-8C7E-A3DFB07EDC6D}" id="{2E67D25C-8CC9-5681-9CFA-5A3F0A71AA4B}">
    <xltc:text>Imported historical input. Source S01; see Sources sheet.</xltc:text>
  </xltc:threadedComment>
  <xltc:threadedComment ref="D9" dT="2026-07-22T20:15:40.312" personId="{3CA1B9D8-C4B6-43FB-8C7E-A3DFB07EDC6D}" id="{FEC42025-13AF-0AAF-30B8-28321DE16BC3}">
    <xltc:text>Imported historical input. Source S01; see Sources sheet.</xltc:text>
  </xltc:threadedComment>
  <xltc:threadedComment ref="B10" dT="2026-07-22T20:15:40.312" personId="{3CA1B9D8-C4B6-43FB-8C7E-A3DFB07EDC6D}" id="{9574D880-06A7-ACCC-8178-22DD3F57B597}">
    <xltc:text>Imported historical input. Source S01; see Sources sheet.</xltc:text>
  </xltc:threadedComment>
  <xltc:threadedComment ref="C10" dT="2026-07-22T20:15:40.312" personId="{3CA1B9D8-C4B6-43FB-8C7E-A3DFB07EDC6D}" id="{B2466D8C-BCA2-D955-ADE5-C2A0B144FD21}">
    <xltc:text>Imported historical input. Source S01; see Sources sheet.</xltc:text>
  </xltc:threadedComment>
  <xltc:threadedComment ref="D10" dT="2026-07-22T20:15:40.312" personId="{3CA1B9D8-C4B6-43FB-8C7E-A3DFB07EDC6D}" id="{DEB03C91-8ADD-BDF5-804F-9BB18B3BAD36}">
    <xltc:text>Imported historical input. Source S01; see Sources sheet.</xltc:text>
  </xltc:threadedComment>
  <xltc:threadedComment ref="B11" dT="2026-07-22T20:15:40.312" personId="{3CA1B9D8-C4B6-43FB-8C7E-A3DFB07EDC6D}" id="{65F32053-861E-6C0B-71F9-24D081E0C785}">
    <xltc:text>Imported historical input. Source S01; see Sources sheet.</xltc:text>
  </xltc:threadedComment>
  <xltc:threadedComment ref="C11" dT="2026-07-22T20:15:40.312" personId="{3CA1B9D8-C4B6-43FB-8C7E-A3DFB07EDC6D}" id="{235202EA-5C4B-3EB9-6F06-C2407072ECA9}">
    <xltc:text>Imported historical input. Source S01; see Sources sheet.</xltc:text>
  </xltc:threadedComment>
  <xltc:threadedComment ref="D11" dT="2026-07-22T20:15:40.312" personId="{3CA1B9D8-C4B6-43FB-8C7E-A3DFB07EDC6D}" id="{D55AF089-E9E1-7EBF-8CD2-B5B37DCFF914}">
    <xltc:text>Imported historical input. Source S01; see Sources sheet.</xltc:text>
  </xltc:threadedComment>
  <xltc:threadedComment ref="B12" dT="2026-07-22T20:15:40.312" personId="{3CA1B9D8-C4B6-43FB-8C7E-A3DFB07EDC6D}" id="{6F246314-E8D6-80A8-267C-7B4F12AF0C14}">
    <xltc:text>Imported historical input. Source S01; see Sources sheet.</xltc:text>
  </xltc:threadedComment>
  <xltc:threadedComment ref="C12" dT="2026-07-22T20:15:40.312" personId="{3CA1B9D8-C4B6-43FB-8C7E-A3DFB07EDC6D}" id="{5F0D6980-98F3-801F-739E-8A64D2A71AC3}">
    <xltc:text>Imported historical input. Source S01; see Sources sheet.</xltc:text>
  </xltc:threadedComment>
  <xltc:threadedComment ref="D12" dT="2026-07-22T20:15:40.312" personId="{3CA1B9D8-C4B6-43FB-8C7E-A3DFB07EDC6D}" id="{C3C5CAB1-30B3-72EF-6674-8A3A866497EA}">
    <xltc:text>Imported historical input. Source S01; see Sources sheet.</xltc:text>
  </xltc:threadedComment>
  <xltc:threadedComment ref="B13" dT="2026-07-22T20:15:40.312" personId="{3CA1B9D8-C4B6-43FB-8C7E-A3DFB07EDC6D}" id="{2CFE7D08-47DE-B59F-F20A-EF827FE19DCA}">
    <xltc:text>Imported historical input. Source S01; see Sources sheet.</xltc:text>
  </xltc:threadedComment>
  <xltc:threadedComment ref="C13" dT="2026-07-22T20:15:40.312" personId="{3CA1B9D8-C4B6-43FB-8C7E-A3DFB07EDC6D}" id="{78928B87-F5CE-695B-8D33-BFC345462EF0}">
    <xltc:text>Imported historical input. Source S01; see Sources sheet.</xltc:text>
  </xltc:threadedComment>
  <xltc:threadedComment ref="D13" dT="2026-07-22T20:15:40.312" personId="{3CA1B9D8-C4B6-43FB-8C7E-A3DFB07EDC6D}" id="{CBA20586-2A02-559F-235E-6697CA90B91C}">
    <xltc:text>Imported historical input. Source S01; see Sources sheet.</xltc:text>
  </xltc:threadedComment>
  <xltc:threadedComment ref="B14" dT="2026-07-22T20:15:40.312" personId="{3CA1B9D8-C4B6-43FB-8C7E-A3DFB07EDC6D}" id="{E5127D69-20EA-EB43-487D-C0CF82394F83}">
    <xltc:text>Imported historical input. Source S03; see Sources sheet.</xltc:text>
  </xltc:threadedComment>
  <xltc:threadedComment ref="C14" dT="2026-07-22T20:15:40.312" personId="{3CA1B9D8-C4B6-43FB-8C7E-A3DFB07EDC6D}" id="{9E54F8C5-8F74-1318-5ECC-5744A80666F3}">
    <xltc:text>Imported historical input. Source S03; see Sources sheet.</xltc:text>
  </xltc:threadedComment>
  <xltc:threadedComment ref="D14" dT="2026-07-22T20:15:40.312" personId="{3CA1B9D8-C4B6-43FB-8C7E-A3DFB07EDC6D}" id="{36B9BCB6-C245-C026-AE95-1E6C73B839EE}">
    <xltc:text>Imported historical input. Source S03; see Sources sheet.</xltc:text>
  </xltc:threadedComment>
  <xltc:threadedComment ref="B15" dT="2026-07-22T20:15:40.312" personId="{3CA1B9D8-C4B6-43FB-8C7E-A3DFB07EDC6D}" id="{5EFBA54E-6255-49BB-4E65-43EEC474B8A6}">
    <xltc:text>Imported historical input. Source S03; see Sources sheet.</xltc:text>
  </xltc:threadedComment>
  <xltc:threadedComment ref="C15" dT="2026-07-22T20:15:40.312" personId="{3CA1B9D8-C4B6-43FB-8C7E-A3DFB07EDC6D}" id="{D9FABC8B-7EC8-2D6D-A564-9CDB9DC53316}">
    <xltc:text>Imported historical input. Source S03; see Sources sheet.</xltc:text>
  </xltc:threadedComment>
  <xltc:threadedComment ref="D15" dT="2026-07-22T20:15:40.312" personId="{3CA1B9D8-C4B6-43FB-8C7E-A3DFB07EDC6D}" id="{5B313C93-9424-44B1-9916-31C281211BF6}">
    <xltc:text>Imported historical input. Source S03; see Sources sheet.</xltc:text>
  </xltc:threadedComment>
  <xltc:threadedComment ref="B16" dT="2026-07-22T20:15:40.312" personId="{3CA1B9D8-C4B6-43FB-8C7E-A3DFB07EDC6D}" id="{9B35E955-1594-2F32-51CA-4C8D4760BACA}">
    <xltc:text>Imported historical input. Source S03; see Sources sheet.</xltc:text>
  </xltc:threadedComment>
  <xltc:threadedComment ref="C16" dT="2026-07-22T20:15:40.312" personId="{3CA1B9D8-C4B6-43FB-8C7E-A3DFB07EDC6D}" id="{2A551E43-730A-57F1-C744-663C2B667EA8}">
    <xltc:text>Imported historical input. Source S03; see Sources sheet.</xltc:text>
  </xltc:threadedComment>
  <xltc:threadedComment ref="D16" dT="2026-07-22T20:15:40.312" personId="{3CA1B9D8-C4B6-43FB-8C7E-A3DFB07EDC6D}" id="{E4455564-BE78-6E89-4E28-09002B02F2E5}">
    <xltc:text>Imported historical input. Source S03; see Sources sheet.</xltc:text>
  </xltc:threadedComment>
  <xltc:threadedComment ref="B17" dT="2026-07-22T20:15:40.312" personId="{3CA1B9D8-C4B6-43FB-8C7E-A3DFB07EDC6D}" id="{F777BCD1-BB9B-A0F0-6202-4F1A96F6B2DF}">
    <xltc:text>Imported historical input. Source S03; see Sources sheet.</xltc:text>
  </xltc:threadedComment>
  <xltc:threadedComment ref="C17" dT="2026-07-22T20:15:40.312" personId="{3CA1B9D8-C4B6-43FB-8C7E-A3DFB07EDC6D}" id="{E8A33A58-9E44-975A-E58E-FB5C52B16449}">
    <xltc:text>Imported historical input. Source S03; see Sources sheet.</xltc:text>
  </xltc:threadedComment>
  <xltc:threadedComment ref="D17" dT="2026-07-22T20:15:40.312" personId="{3CA1B9D8-C4B6-43FB-8C7E-A3DFB07EDC6D}" id="{791296D1-344A-5B7F-0559-1B4634ED34C7}">
    <xltc:text>Imported historical input. Source S03; see Sources sheet.</xltc:text>
  </xltc:threadedComment>
  <xltc:threadedComment ref="B18" dT="2026-07-22T20:15:40.312" personId="{3CA1B9D8-C4B6-43FB-8C7E-A3DFB07EDC6D}" id="{65A05D44-4795-A04E-3694-010BADB25D08}">
    <xltc:text>Imported historical input. Source S03; see Sources sheet.</xltc:text>
  </xltc:threadedComment>
  <xltc:threadedComment ref="C18" dT="2026-07-22T20:15:40.312" personId="{3CA1B9D8-C4B6-43FB-8C7E-A3DFB07EDC6D}" id="{216869BF-E0CD-1930-07E1-9ECB454DED15}">
    <xltc:text>Imported historical input. Source S03; see Sources sheet.</xltc:text>
  </xltc:threadedComment>
  <xltc:threadedComment ref="D18" dT="2026-07-22T20:15:40.312" personId="{3CA1B9D8-C4B6-43FB-8C7E-A3DFB07EDC6D}" id="{9C39579B-D164-BACD-3CBA-613DA2F3ADE1}">
    <xltc:text>Imported historical input. Source S03; see Sources sheet.</xltc:text>
  </xltc:threadedComment>
  <xltc:threadedComment ref="B19" dT="2026-07-22T20:15:40.312" personId="{3CA1B9D8-C4B6-43FB-8C7E-A3DFB07EDC6D}" id="{58AA9D4F-3492-809B-B8F3-4B389B17BD2F}">
    <xltc:text>Imported historical input. Source S03; see Sources sheet.</xltc:text>
  </xltc:threadedComment>
  <xltc:threadedComment ref="C19" dT="2026-07-22T20:15:40.312" personId="{3CA1B9D8-C4B6-43FB-8C7E-A3DFB07EDC6D}" id="{99ECF421-B924-8C6F-08AA-A025B5CA111B}">
    <xltc:text>Imported historical input. Source S03; see Sources sheet.</xltc:text>
  </xltc:threadedComment>
  <xltc:threadedComment ref="D19" dT="2026-07-22T20:15:40.312" personId="{3CA1B9D8-C4B6-43FB-8C7E-A3DFB07EDC6D}" id="{C97C161C-9A50-8314-B3BC-A7A786FFAC6D}">
    <xltc:text>Imported historical input. Source S03; see Sources sheet.</xltc:text>
  </xltc:threadedComment>
  <xltc:threadedComment ref="B20" dT="2026-07-22T20:15:40.312" personId="{3CA1B9D8-C4B6-43FB-8C7E-A3DFB07EDC6D}" id="{9125371A-EACD-9996-6C65-CC8725C024BA}">
    <xltc:text>Imported historical input. Source S03; see Sources sheet.</xltc:text>
  </xltc:threadedComment>
  <xltc:threadedComment ref="C20" dT="2026-07-22T20:15:40.312" personId="{3CA1B9D8-C4B6-43FB-8C7E-A3DFB07EDC6D}" id="{02BE4C4D-81D7-329C-C783-37E2A0D768E2}">
    <xltc:text>Imported historical input. Source S03; see Sources sheet.</xltc:text>
  </xltc:threadedComment>
  <xltc:threadedComment ref="D20" dT="2026-07-22T20:15:40.312" personId="{3CA1B9D8-C4B6-43FB-8C7E-A3DFB07EDC6D}" id="{E2FDA96E-D7F4-DE51-4EB2-3123B0DB84DC}">
    <xltc:text>Imported historical input. Source S03; see Sources sheet.</xltc:text>
  </xltc:threadedComment>
  <xltc:threadedComment ref="B21" dT="2026-07-22T20:15:40.312" personId="{3CA1B9D8-C4B6-43FB-8C7E-A3DFB07EDC6D}" id="{9358BA0B-7B21-C1F2-05B7-4694564FEBC2}">
    <xltc:text>Imported historical input. Source S01; see Sources sheet.</xltc:text>
  </xltc:threadedComment>
  <xltc:threadedComment ref="C21" dT="2026-07-22T20:15:40.312" personId="{3CA1B9D8-C4B6-43FB-8C7E-A3DFB07EDC6D}" id="{B7891C1F-E9C6-28A1-8D9A-5EEE51C5ABEE}">
    <xltc:text>Imported historical input. Source S01; see Sources sheet.</xltc:text>
  </xltc:threadedComment>
  <xltc:threadedComment ref="D21" dT="2026-07-22T20:15:40.312" personId="{3CA1B9D8-C4B6-43FB-8C7E-A3DFB07EDC6D}" id="{DF64E21C-98C6-62DC-75AC-3C3CE010B21F}">
    <xltc:text>Imported historical input. Source S01; see Sources sheet.</xltc:text>
  </xltc:threadedComment>
  <xltc:threadedComment ref="B26" dT="2026-07-22T20:15:40.312" personId="{3CA1B9D8-C4B6-43FB-8C7E-A3DFB07EDC6D}" id="{7ADDE255-C29F-54C6-03E0-C8470229C3BD}">
    <xltc:text>Imported quarterly input. Source S03/S05; see Sources sheet.</xltc:text>
  </xltc:threadedComment>
  <xltc:threadedComment ref="C26" dT="2026-07-22T20:15:40.312" personId="{3CA1B9D8-C4B6-43FB-8C7E-A3DFB07EDC6D}" id="{E92FDBE2-352C-D333-1D83-3FDBDC333641}">
    <xltc:text>Imported quarterly input. Source S03/S05; see Sources sheet.</xltc:text>
  </xltc:threadedComment>
  <xltc:threadedComment ref="D26" dT="2026-07-22T20:15:40.312" personId="{3CA1B9D8-C4B6-43FB-8C7E-A3DFB07EDC6D}" id="{A2E89C52-F9B4-985E-F778-9926F767725A}">
    <xltc:text>Imported quarterly input. Source S03/S05; see Sources sheet.</xltc:text>
  </xltc:threadedComment>
  <xltc:threadedComment ref="E26" dT="2026-07-22T20:15:40.312" personId="{3CA1B9D8-C4B6-43FB-8C7E-A3DFB07EDC6D}" id="{A129CD35-C098-96FE-7DFD-0EB3EA8260BE}">
    <xltc:text>Imported quarterly input. Source S03/S05; see Sources sheet.</xltc:text>
  </xltc:threadedComment>
  <xltc:threadedComment ref="F26" dT="2026-07-22T20:15:40.312" personId="{3CA1B9D8-C4B6-43FB-8C7E-A3DFB07EDC6D}" id="{EA03236F-DB63-AA00-E5DE-74FD4CCCD03E}">
    <xltc:text>Imported quarterly input. Source S03/S05; see Sources sheet.</xltc:text>
  </xltc:threadedComment>
  <xltc:threadedComment ref="B27" dT="2026-07-22T20:15:40.312" personId="{3CA1B9D8-C4B6-43FB-8C7E-A3DFB07EDC6D}" id="{C515852E-5B34-F08D-835A-F3B6A4C761D1}">
    <xltc:text>Imported quarterly input. Source S03/S05; see Sources sheet.</xltc:text>
  </xltc:threadedComment>
  <xltc:threadedComment ref="C27" dT="2026-07-22T20:15:40.312" personId="{3CA1B9D8-C4B6-43FB-8C7E-A3DFB07EDC6D}" id="{8502473F-324D-53D9-803F-7B7FD03B92DF}">
    <xltc:text>Imported quarterly input. Source S03/S05; see Sources sheet.</xltc:text>
  </xltc:threadedComment>
  <xltc:threadedComment ref="D27" dT="2026-07-22T20:15:40.312" personId="{3CA1B9D8-C4B6-43FB-8C7E-A3DFB07EDC6D}" id="{9A07570E-02AB-9840-5C75-AD0802EB626D}">
    <xltc:text>Imported quarterly input. Source S03/S05; see Sources sheet.</xltc:text>
  </xltc:threadedComment>
  <xltc:threadedComment ref="E27" dT="2026-07-22T20:15:40.312" personId="{3CA1B9D8-C4B6-43FB-8C7E-A3DFB07EDC6D}" id="{DDA2BA3B-8B7A-47FF-37B5-F2F461F458FB}">
    <xltc:text>Imported quarterly input. Source S03/S05; see Sources sheet.</xltc:text>
  </xltc:threadedComment>
  <xltc:threadedComment ref="F27" dT="2026-07-22T20:15:40.312" personId="{3CA1B9D8-C4B6-43FB-8C7E-A3DFB07EDC6D}" id="{A25FDA5C-1A47-128D-DA9E-B84EAD56FE7F}">
    <xltc:text>Imported quarterly input. Source S03/S05; see Sources sheet.</xltc:text>
  </xltc:threadedComment>
  <xltc:threadedComment ref="B28" dT="2026-07-22T20:15:40.312" personId="{3CA1B9D8-C4B6-43FB-8C7E-A3DFB07EDC6D}" id="{36452293-AF7F-1F1A-EC07-FEE68F40BE1C}">
    <xltc:text>Imported quarterly input. Source S03/S05; see Sources sheet.</xltc:text>
  </xltc:threadedComment>
  <xltc:threadedComment ref="C28" dT="2026-07-22T20:15:40.312" personId="{3CA1B9D8-C4B6-43FB-8C7E-A3DFB07EDC6D}" id="{7C5E54F1-A4A9-2378-35E0-6F543B11752C}">
    <xltc:text>Imported quarterly input. Source S03/S05; see Sources sheet.</xltc:text>
  </xltc:threadedComment>
  <xltc:threadedComment ref="D28" dT="2026-07-22T20:15:40.312" personId="{3CA1B9D8-C4B6-43FB-8C7E-A3DFB07EDC6D}" id="{DBAF82D4-8A36-C86C-F766-698D91ADA814}">
    <xltc:text>Imported quarterly input. Source S03/S05; see Sources sheet.</xltc:text>
  </xltc:threadedComment>
  <xltc:threadedComment ref="E28" dT="2026-07-22T20:15:40.312" personId="{3CA1B9D8-C4B6-43FB-8C7E-A3DFB07EDC6D}" id="{06A7ADA8-F9E7-48D8-DD0C-E30DCEDDEA1D}">
    <xltc:text>Imported quarterly input. Source S03/S05; see Sources sheet.</xltc:text>
  </xltc:threadedComment>
  <xltc:threadedComment ref="F28" dT="2026-07-22T20:15:40.312" personId="{3CA1B9D8-C4B6-43FB-8C7E-A3DFB07EDC6D}" id="{B0E2F68A-1F0C-3E9C-53CB-2716E79C6F4A}">
    <xltc:text>Imported quarterly input. Source S03/S05; see Sources sheet.</xltc:text>
  </xltc:threadedComment>
  <xltc:threadedComment ref="B29" dT="2026-07-22T20:15:40.312" personId="{3CA1B9D8-C4B6-43FB-8C7E-A3DFB07EDC6D}" id="{9898FF98-2BCF-6513-2B10-B300F43229B9}">
    <xltc:text>Imported quarterly input. Source S03/S05; see Sources sheet.</xltc:text>
  </xltc:threadedComment>
  <xltc:threadedComment ref="C29" dT="2026-07-22T20:15:40.312" personId="{3CA1B9D8-C4B6-43FB-8C7E-A3DFB07EDC6D}" id="{2CF52406-AD9D-B8B7-71DA-20CA1268D66E}">
    <xltc:text>Imported quarterly input. Source S03/S05; see Sources sheet.</xltc:text>
  </xltc:threadedComment>
  <xltc:threadedComment ref="D29" dT="2026-07-22T20:15:40.312" personId="{3CA1B9D8-C4B6-43FB-8C7E-A3DFB07EDC6D}" id="{9ACC7E46-BA52-CA31-E5BE-EC2B1EE09BD1}">
    <xltc:text>Imported quarterly input. Source S03/S05; see Sources sheet.</xltc:text>
  </xltc:threadedComment>
  <xltc:threadedComment ref="E29" dT="2026-07-22T20:15:40.312" personId="{3CA1B9D8-C4B6-43FB-8C7E-A3DFB07EDC6D}" id="{7D9E96D7-186C-B574-BCDC-9E409EC0F39D}">
    <xltc:text>Imported quarterly input. Source S03/S05; see Sources sheet.</xltc:text>
  </xltc:threadedComment>
  <xltc:threadedComment ref="F29" dT="2026-07-22T20:15:40.312" personId="{3CA1B9D8-C4B6-43FB-8C7E-A3DFB07EDC6D}" id="{8F005D61-C20B-DFE3-6768-36D8FCAFC7F5}">
    <xltc:text>Imported quarterly input. Source S03/S05; see Sources sheet.</xltc:text>
  </xltc:threadedComment>
  <xltc:threadedComment ref="B30" dT="2026-07-22T20:15:40.312" personId="{3CA1B9D8-C4B6-43FB-8C7E-A3DFB07EDC6D}" id="{E3F69E80-701C-F10B-8DE6-487A8DA8F73E}">
    <xltc:text>Imported quarterly input. Source S03/S05; see Sources sheet.</xltc:text>
  </xltc:threadedComment>
  <xltc:threadedComment ref="C30" dT="2026-07-22T20:15:40.312" personId="{3CA1B9D8-C4B6-43FB-8C7E-A3DFB07EDC6D}" id="{B82567D0-B1F0-4FBD-C817-08D6B1192323}">
    <xltc:text>Imported quarterly input. Source S03/S05; see Sources sheet.</xltc:text>
  </xltc:threadedComment>
  <xltc:threadedComment ref="D30" dT="2026-07-22T20:15:40.312" personId="{3CA1B9D8-C4B6-43FB-8C7E-A3DFB07EDC6D}" id="{DBA56613-184D-7104-CB97-1F156BC00319}">
    <xltc:text>Imported quarterly input. Source S03/S05; see Sources sheet.</xltc:text>
  </xltc:threadedComment>
  <xltc:threadedComment ref="E30" dT="2026-07-22T20:15:40.312" personId="{3CA1B9D8-C4B6-43FB-8C7E-A3DFB07EDC6D}" id="{A8E34F0F-28B9-DA2B-C8DC-632782E53A6B}">
    <xltc:text>Imported quarterly input. Source S03/S05; see Sources sheet.</xltc:text>
  </xltc:threadedComment>
  <xltc:threadedComment ref="F30" dT="2026-07-22T20:15:40.312" personId="{3CA1B9D8-C4B6-43FB-8C7E-A3DFB07EDC6D}" id="{D022B3C8-97F8-EE2B-FF84-F60C4CB0A617}">
    <xltc:text>Imported quarterly input. Source S03/S05; see Sources sheet.</xltc:text>
  </xltc:threadedComment>
  <xltc:threadedComment ref="B31" dT="2026-07-22T20:15:40.312" personId="{3CA1B9D8-C4B6-43FB-8C7E-A3DFB07EDC6D}" id="{18E16F38-D134-8FD7-BB2A-F6AFB18C903E}">
    <xltc:text>Imported quarterly input. Source S03/S05; see Sources sheet.</xltc:text>
  </xltc:threadedComment>
  <xltc:threadedComment ref="C31" dT="2026-07-22T20:15:40.312" personId="{3CA1B9D8-C4B6-43FB-8C7E-A3DFB07EDC6D}" id="{813AB325-902D-BEE6-98B8-C29019FB3C50}">
    <xltc:text>Imported quarterly input. Source S03/S05; see Sources sheet.</xltc:text>
  </xltc:threadedComment>
  <xltc:threadedComment ref="D31" dT="2026-07-22T20:15:40.312" personId="{3CA1B9D8-C4B6-43FB-8C7E-A3DFB07EDC6D}" id="{6D692D47-A99F-D28E-6BFD-7A17915855FC}">
    <xltc:text>Imported quarterly input. Source S03/S05; see Sources sheet.</xltc:text>
  </xltc:threadedComment>
  <xltc:threadedComment ref="E31" dT="2026-07-22T20:15:40.312" personId="{3CA1B9D8-C4B6-43FB-8C7E-A3DFB07EDC6D}" id="{805CFE0B-EC66-35E5-87D8-B20CE7547D73}">
    <xltc:text>Imported quarterly input. Source S03/S05; see Sources sheet.</xltc:text>
  </xltc:threadedComment>
  <xltc:threadedComment ref="F31" dT="2026-07-22T20:15:40.312" personId="{3CA1B9D8-C4B6-43FB-8C7E-A3DFB07EDC6D}" id="{6FC77CA3-1234-D971-28FE-C532BF4840F4}">
    <xltc:text>Imported quarterly input. Source S03/S05; see Sources sheet.</xltc:text>
  </xltc:threadedComment>
  <xltc:threadedComment ref="B32" dT="2026-07-22T20:15:40.312" personId="{3CA1B9D8-C4B6-43FB-8C7E-A3DFB07EDC6D}" id="{E09F061F-C92D-A3AF-D824-215B574086E7}">
    <xltc:text>Imported quarterly input. Source S03/S05; see Sources sheet.</xltc:text>
  </xltc:threadedComment>
  <xltc:threadedComment ref="C32" dT="2026-07-22T20:15:40.312" personId="{3CA1B9D8-C4B6-43FB-8C7E-A3DFB07EDC6D}" id="{E082D603-C676-D860-D7F1-EAF37DADF700}">
    <xltc:text>Imported quarterly input. Source S03/S05; see Sources sheet.</xltc:text>
  </xltc:threadedComment>
  <xltc:threadedComment ref="D32" dT="2026-07-22T20:15:40.312" personId="{3CA1B9D8-C4B6-43FB-8C7E-A3DFB07EDC6D}" id="{BF0C5A58-D8D7-5BA0-A503-2E40E6ABC3CF}">
    <xltc:text>Imported quarterly input. Source S03/S05; see Sources sheet.</xltc:text>
  </xltc:threadedComment>
  <xltc:threadedComment ref="E32" dT="2026-07-22T20:15:40.313" personId="{3CA1B9D8-C4B6-43FB-8C7E-A3DFB07EDC6D}" id="{64A38E71-522A-CF02-7C25-0BB2B66F779E}">
    <xltc:text>Imported quarterly input. Source S03/S05; see Sources sheet.</xltc:text>
  </xltc:threadedComment>
  <xltc:threadedComment ref="F32" dT="2026-07-22T20:15:40.313" personId="{3CA1B9D8-C4B6-43FB-8C7E-A3DFB07EDC6D}" id="{59C7F6D1-8CA5-28ED-08AA-6F68FE16D847}">
    <xltc:text>Imported quarterly input. Source S03/S05; see Sources sheet.</xltc:text>
  </xltc:threadedComment>
  <xltc:threadedComment ref="B33" dT="2026-07-22T20:15:40.313" personId="{3CA1B9D8-C4B6-43FB-8C7E-A3DFB07EDC6D}" id="{44575651-58A4-B4D6-088E-C37EB14DE23E}">
    <xltc:text>Imported quarterly input. Source S03/S05; see Sources sheet.</xltc:text>
  </xltc:threadedComment>
  <xltc:threadedComment ref="C33" dT="2026-07-22T20:15:40.313" personId="{3CA1B9D8-C4B6-43FB-8C7E-A3DFB07EDC6D}" id="{03374E59-0C05-FD1E-ED84-5E9EC19C6F3C}">
    <xltc:text>Imported quarterly input. Source S03/S05; see Sources sheet.</xltc:text>
  </xltc:threadedComment>
  <xltc:threadedComment ref="D33" dT="2026-07-22T20:15:40.313" personId="{3CA1B9D8-C4B6-43FB-8C7E-A3DFB07EDC6D}" id="{60552AC4-3E91-A27B-148F-8331807ACC78}">
    <xltc:text>Imported quarterly input. Source S03/S05; see Sources sheet.</xltc:text>
  </xltc:threadedComment>
  <xltc:threadedComment ref="E33" dT="2026-07-22T20:15:40.313" personId="{3CA1B9D8-C4B6-43FB-8C7E-A3DFB07EDC6D}" id="{21F28995-A4B6-EB4F-CB29-0E7A4E78DDB2}">
    <xltc:text>Imported quarterly input. Source S03/S05; see Sources sheet.</xltc:text>
  </xltc:threadedComment>
  <xltc:threadedComment ref="F33" dT="2026-07-22T20:15:40.313" personId="{3CA1B9D8-C4B6-43FB-8C7E-A3DFB07EDC6D}" id="{476EB1B6-529B-2B60-F379-38904D73C0BF}">
    <xltc:text>Imported quarterly input. Source S03/S05; see Sources sheet.</xltc:text>
  </xltc:threadedComment>
  <xltc:threadedComment ref="B34" dT="2026-07-22T20:15:40.313" personId="{3CA1B9D8-C4B6-43FB-8C7E-A3DFB07EDC6D}" id="{B354EB50-67C9-15B5-D393-8EDC13DDE161}">
    <xltc:text>Imported quarterly input. Source S03/S05; see Sources sheet.</xltc:text>
  </xltc:threadedComment>
  <xltc:threadedComment ref="C34" dT="2026-07-22T20:15:40.313" personId="{3CA1B9D8-C4B6-43FB-8C7E-A3DFB07EDC6D}" id="{2CBC7A3C-ECF2-58D6-7DCE-699E8508687F}">
    <xltc:text>Imported quarterly input. Source S03/S05; see Sources sheet.</xltc:text>
  </xltc:threadedComment>
  <xltc:threadedComment ref="D34" dT="2026-07-22T20:15:40.313" personId="{3CA1B9D8-C4B6-43FB-8C7E-A3DFB07EDC6D}" id="{D1222306-82A9-3388-BCC2-CCA14CB33411}">
    <xltc:text>Imported quarterly input. Source S03/S05; see Sources sheet.</xltc:text>
  </xltc:threadedComment>
  <xltc:threadedComment ref="E34" dT="2026-07-22T20:15:40.313" personId="{3CA1B9D8-C4B6-43FB-8C7E-A3DFB07EDC6D}" id="{96D9035D-AD89-C0C6-8C45-B148B26CF700}">
    <xltc:text>Imported quarterly input. Source S03/S05; see Sources sheet.</xltc:text>
  </xltc:threadedComment>
  <xltc:threadedComment ref="F34" dT="2026-07-22T20:15:40.313" personId="{3CA1B9D8-C4B6-43FB-8C7E-A3DFB07EDC6D}" id="{E2B8CB00-CFBF-C7AF-59D2-7F5C79A9957D}">
    <xltc:text>Imported quarterly input. Source S03/S05; see Sources sheet.</xltc:text>
  </xltc:threadedComment>
  <xltc:threadedComment ref="B35" dT="2026-07-22T20:15:40.313" personId="{3CA1B9D8-C4B6-43FB-8C7E-A3DFB07EDC6D}" id="{B643077B-1E8C-2D5E-8BA3-21C9A4E46327}">
    <xltc:text>Imported quarterly input. Source S03/S05; see Sources sheet.</xltc:text>
  </xltc:threadedComment>
  <xltc:threadedComment ref="C35" dT="2026-07-22T20:15:40.313" personId="{3CA1B9D8-C4B6-43FB-8C7E-A3DFB07EDC6D}" id="{52A5B7DF-357C-0AEA-FC8E-D471F3F198BA}">
    <xltc:text>Imported quarterly input. Source S03/S05; see Sources sheet.</xltc:text>
  </xltc:threadedComment>
  <xltc:threadedComment ref="D35" dT="2026-07-22T20:15:40.313" personId="{3CA1B9D8-C4B6-43FB-8C7E-A3DFB07EDC6D}" id="{E2C5F9E4-189A-679B-8487-0D7CC178E810}">
    <xltc:text>Imported quarterly input. Source S03/S05; see Sources sheet.</xltc:text>
  </xltc:threadedComment>
  <xltc:threadedComment ref="E35" dT="2026-07-22T20:15:40.313" personId="{3CA1B9D8-C4B6-43FB-8C7E-A3DFB07EDC6D}" id="{F2780464-E81A-D61F-5529-5BD9688AF748}">
    <xltc:text>Imported quarterly input. Source S03/S05; see Sources sheet.</xltc:text>
  </xltc:threadedComment>
  <xltc:threadedComment ref="F35" dT="2026-07-22T20:15:40.313" personId="{3CA1B9D8-C4B6-43FB-8C7E-A3DFB07EDC6D}" id="{99A90F13-1744-C65F-18C8-4215979E6ABA}">
    <xltc:text>Imported quarterly input. Source S03/S05; see Sources sheet.</xltc:text>
  </xltc:threadedComment>
  <xltc:threadedComment ref="B36" dT="2026-07-22T20:15:40.313" personId="{3CA1B9D8-C4B6-43FB-8C7E-A3DFB07EDC6D}" id="{C4520D22-56DD-0AF7-F134-6C125A126739}">
    <xltc:text>Imported quarterly input. Source S03/S05; see Sources sheet.</xltc:text>
  </xltc:threadedComment>
  <xltc:threadedComment ref="C36" dT="2026-07-22T20:15:40.313" personId="{3CA1B9D8-C4B6-43FB-8C7E-A3DFB07EDC6D}" id="{46C73FE6-D48E-140D-BF51-CEE16478B569}">
    <xltc:text>Imported quarterly input. Source S03/S05; see Sources sheet.</xltc:text>
  </xltc:threadedComment>
  <xltc:threadedComment ref="D36" dT="2026-07-22T20:15:40.313" personId="{3CA1B9D8-C4B6-43FB-8C7E-A3DFB07EDC6D}" id="{F8C49E6D-2D94-4498-6A56-48069069C6BB}">
    <xltc:text>Imported quarterly input. Source S03/S05; see Sources sheet.</xltc:text>
  </xltc:threadedComment>
  <xltc:threadedComment ref="E36" dT="2026-07-22T20:15:40.313" personId="{3CA1B9D8-C4B6-43FB-8C7E-A3DFB07EDC6D}" id="{E94A7A5E-A05B-FCE7-484C-A64EA28B703C}">
    <xltc:text>Imported quarterly input. Source S03/S05; see Sources sheet.</xltc:text>
  </xltc:threadedComment>
  <xltc:threadedComment ref="F36" dT="2026-07-22T20:15:40.313" personId="{3CA1B9D8-C4B6-43FB-8C7E-A3DFB07EDC6D}" id="{43BC71E8-488E-F5E3-4BB9-E2AA71459083}">
    <xltc:text>Imported quarterly input. Source S03/S05; see Sources sheet.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34" dT="2026-07-22T20:15:40.322" personId="{3CA1B9D8-C4B6-43FB-8C7E-A3DFB07EDC6D}" id="{7DB0B8BC-00E3-A33A-92B4-C70B5AC526B0}">
    <xltc:text>WACC is a model judgment. Rebuild from risk-free rate, beta, equity risk premium, after-tax cost of debt and capital structure before publishing.</xltc:text>
  </xltc:threadedComment>
  <xltc:threadedComment ref="B37" dT="2026-07-22T20:15:40.322" personId="{3CA1B9D8-C4B6-43FB-8C7E-A3DFB07EDC6D}" id="{022D39AB-83AB-68A5-B3E8-DB822C4BD0BA}">
    <xltc:text>Terminal growth should remain consistent with long-run nominal growth and terminal reinvestment needs.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E23" dT="2026-07-22T20:15:40.347" personId="{3CA1B9D8-C4B6-43FB-8C7E-A3DFB07EDC6D}" id="{3099F2CB-C9C2-E7B1-C94A-33AF02384C56}">
    <xltc:text>2026E adjusted EPS must be derived from revenue, segment margins, corporate cost, interest, tax and shares. Do not hardcode this output.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23" dT="2026-07-22T20:15:40.347" personId="{3CA1B9D8-C4B6-43FB-8C7E-A3DFB07EDC6D}" id="{75085B54-4892-12DF-D714-D528D3FFFC5E}">
    <xltc:text>DCF value per share uses mid-year discounting and Gordon growth. Review the sensitivity table before relying on the point estimate.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C26" dT="2026-07-22T20:15:40.347" personId="{3CA1B9D8-C4B6-43FB-8C7E-A3DFB07EDC6D}" id="{8DF0E445-A631-3DCD-2404-96E6D953BEBC}">
    <xltc:text>Base SOTP uses 2027 segment income. Multiples are editable judgments and should be refreshed against current EV/EBITA trading data.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2b0c0143ddb4a7f" /><Relationship Type="http://schemas.openxmlformats.org/officeDocument/2006/relationships/vmlDrawing" Target="/xl/drawings/vmldrawing.vml" Id="Rc5431a73eb6a4f0f" /><Relationship Type="http://schemas.microsoft.com/office/2017/10/relationships/threadedComment" Target="/xl/threadedcomments/threadedcomment.xml" Id="R21902380236340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1c8ec6294a24723" /><Relationship Type="http://schemas.openxmlformats.org/officeDocument/2006/relationships/vmlDrawing" Target="/xl/drawings/vmldrawing2.vml" Id="R2f28b2c8f7564a42" /><Relationship Type="http://schemas.microsoft.com/office/2017/10/relationships/threadedComment" Target="/xl/threadedcomments/threadedcomment2.xml" Id="Ra78a8084056645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7f449fb5f8f94f0f" /><Relationship Type="http://schemas.openxmlformats.org/officeDocument/2006/relationships/vmlDrawing" Target="/xl/drawings/vmldrawing3.vml" Id="R4a23d14743ab4367" /><Relationship Type="http://schemas.microsoft.com/office/2017/10/relationships/threadedComment" Target="/xl/threadedcomments/threadedcomment3.xml" Id="R33e1cd3c0ee649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a64a66be6f554214" /><Relationship Type="http://schemas.openxmlformats.org/officeDocument/2006/relationships/vmlDrawing" Target="/xl/drawings/vmldrawing4.vml" Id="Ra2de2ceb797e4c2a" /><Relationship Type="http://schemas.microsoft.com/office/2017/10/relationships/threadedComment" Target="/xl/threadedcomments/threadedcomment4.xml" Id="R67639799959246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9ce4710d962e488e" /><Relationship Type="http://schemas.openxmlformats.org/officeDocument/2006/relationships/vmlDrawing" Target="/xl/drawings/vmldrawing5.vml" Id="Re0490930985d4e90" /><Relationship Type="http://schemas.microsoft.com/office/2017/10/relationships/threadedComment" Target="/xl/threadedcomments/threadedcomment5.xml" Id="Rdd3e3a9686f840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6" hidden="0" customWidth="1"/>
  </x:cols>
  <x:sheetData>
    <x:row r="1" ht="28" customHeight="1">
      <x:c r="A1" s="3" t="str">
        <x:v>nVent Core Valuation Model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Segment operating model + DCF + trading comps + SOTP | USD millions except per-share data</x:v>
      </x:c>
      <x:c r="B2" s="6"/>
      <x:c r="C2" s="6"/>
      <x:c r="D2" s="6"/>
      <x:c r="E2" s="6"/>
      <x:c r="F2" s="6"/>
      <x:c r="G2" s="6"/>
      <x:c r="H2" s="6"/>
    </x:row>
    <x:row r="4">
      <x:c r="A4" t="str">
        <x:v>Valuation date</x:v>
      </x:c>
      <x:c r="B4" s="76" t="n">
        <x:f>'Assumptions'!$B$40</x:f>
        <x:v>46225</x:v>
      </x:c>
    </x:row>
    <x:row r="5">
      <x:c r="A5" t="str">
        <x:v>Active case</x:v>
      </x:c>
      <x:c r="B5" s="50" t="str">
        <x:f>'Assumptions'!$B$3</x:f>
        <x:v>Base</x:v>
      </x:c>
    </x:row>
    <x:row r="6">
      <x:c r="A6" t="str">
        <x:v>Current share price</x:v>
      </x:c>
      <x:c r="B6" s="58" t="n">
        <x:f>'Assumptions'!$B$32</x:f>
        <x:v>159</x:v>
      </x:c>
    </x:row>
    <x:row r="7">
      <x:c r="A7" t="str">
        <x:v>2027 model EPS</x:v>
      </x:c>
      <x:c r="B7" s="58" t="n">
        <x:f>'Operating Model'!$F$23</x:f>
        <x:v>5.785106941399202</x:v>
      </x:c>
    </x:row>
    <x:row r="8">
      <x:c r="A8" t="str">
        <x:v>2027 consensus EPS</x:v>
      </x:c>
      <x:c r="B8" s="58" t="n">
        <x:f>'Assumptions'!$E$33</x:f>
        <x:v>5.74</x:v>
      </x:c>
    </x:row>
    <x:row r="9">
      <x:c r="A9" t="str">
        <x:v>Model vs consensus</x:v>
      </x:c>
      <x:c r="B9" s="53" t="n">
        <x:f>B7/B8-1</x:f>
        <x:v>0.007858352160139637</x:v>
      </x:c>
    </x:row>
    <x:row r="11" ht="20" customHeight="1">
      <x:c r="A11" s="20" t="str">
        <x:v>Valuation summary</x:v>
      </x:c>
      <x:c r="B11" s="20"/>
      <x:c r="C11" s="20"/>
      <x:c r="D11" s="20"/>
      <x:c r="E11" s="20"/>
      <x:c r="F11" s="20"/>
    </x:row>
    <x:row r="12">
      <x:c r="A12" s="8" t="str">
        <x:v>Method</x:v>
      </x:c>
      <x:c r="B12" s="8" t="str">
        <x:v>Value / share</x:v>
      </x:c>
      <x:c r="C12" s="8" t="str">
        <x:v>Weight</x:v>
      </x:c>
      <x:c r="D12" s="8" t="str">
        <x:v>Weighted value</x:v>
      </x:c>
      <x:c r="E12" s="8" t="str">
        <x:v>Upside / (downside)</x:v>
      </x:c>
      <x:c r="F12" s="8" t="str">
        <x:v>Comment</x:v>
      </x:c>
    </x:row>
    <x:row r="13">
      <x:c r="A13" t="str">
        <x:v>DCF</x:v>
      </x:c>
      <x:c r="B13" s="58" t="n">
        <x:f>'DCF'!$B$23</x:f>
        <x:v>129.62086557551856</x:v>
      </x:c>
      <x:c r="C13" s="42" t="n">
        <x:v>0.5</x:v>
      </x:c>
      <x:c r="D13" s="59" t="n">
        <x:f>B13*C13</x:f>
        <x:v>64.81043278775928</x:v>
      </x:c>
      <x:c r="E13" s="47" t="n">
        <x:f>B13/$B$6-1</x:f>
        <x:v>-0.1847744303426505</x:v>
      </x:c>
      <x:c r="F13" s="11" t="str">
        <x:v>Intrinsic value; sensitive to WACC and terminal growth.</x:v>
      </x:c>
    </x:row>
    <x:row r="14">
      <x:c r="A14" t="str">
        <x:v>Trading comps</x:v>
      </x:c>
      <x:c r="B14" s="58" t="n">
        <x:f>'Comps'!$D$18</x:f>
        <x:v>169.043</x:v>
      </x:c>
      <x:c r="C14" s="42" t="n">
        <x:v>0.3</x:v>
      </x:c>
      <x:c r="D14" s="59" t="n">
        <x:f>B14*C14</x:f>
        <x:v>50.7129</x:v>
      </x:c>
      <x:c r="E14" s="47" t="n">
        <x:f>B14/$B$6-1</x:f>
        <x:v>0.06316352201257858</x:v>
      </x:c>
      <x:c r="F14" s="11" t="str">
        <x:v>Market cross-check using 2027 consensus EPS.</x:v>
      </x:c>
    </x:row>
    <x:row r="15">
      <x:c r="A15" t="str">
        <x:v>SOTP</x:v>
      </x:c>
      <x:c r="B15" s="58" t="n">
        <x:f>IF($B$5="Bear",'SOTP'!$B$26,IF($B$5="Bull",'SOTP'!$D$26,'SOTP'!$C$26))</x:f>
        <x:v>166.81083012802443</x:v>
      </x:c>
      <x:c r="C15" s="42" t="n">
        <x:v>0.2</x:v>
      </x:c>
      <x:c r="D15" s="59" t="n">
        <x:f>B15*C15</x:f>
        <x:v>33.362166025604886</x:v>
      </x:c>
      <x:c r="E15" s="47" t="n">
        <x:f>B15/$B$6-1</x:f>
        <x:v>0.04912471778631722</x:v>
      </x:c>
      <x:c r="F15" s="11" t="str">
        <x:v>Values disclosed segments separately; subtracts corporate drag.</x:v>
      </x:c>
    </x:row>
    <x:row r="16">
      <x:c r="A16" s="32" t="str">
        <x:v>Blended value per share</x:v>
      </x:c>
      <x:c r="B16" s="32"/>
      <x:c r="C16" s="32"/>
      <x:c r="D16" s="63" t="n">
        <x:f>SUM(D13:D15)</x:f>
        <x:v>148.88549881336417</x:v>
      </x:c>
      <x:c r="E16" s="78" t="n">
        <x:f>D16/$B$6-1</x:f>
        <x:v>-0.06361321501028827</x:v>
      </x:c>
      <x:c r="F16" s="32"/>
    </x:row>
    <x:row r="19" ht="20" customHeight="1">
      <x:c r="A19" s="20" t="str">
        <x:v>Model interpretation</x:v>
      </x:c>
      <x:c r="B19" s="20"/>
      <x:c r="C19" s="20"/>
      <x:c r="D19" s="20"/>
      <x:c r="E19" s="20"/>
      <x:c r="F19" s="20"/>
    </x:row>
    <x:row r="20">
      <x:c r="A20" s="79" t="str">
        <x:v>Question</x:v>
      </x:c>
      <x:c r="B20" s="79" t="str">
        <x:v>What to inspect</x:v>
      </x:c>
      <x:c r="C20" s="79" t="str">
        <x:v>Bear signal</x:v>
      </x:c>
      <x:c r="D20" s="79" t="str">
        <x:v>Base signal</x:v>
      </x:c>
      <x:c r="E20" s="79" t="str">
        <x:v>Bull signal</x:v>
      </x:c>
      <x:c r="F20" s="79" t="str">
        <x:v>Relevant sheet</x:v>
      </x:c>
    </x:row>
    <x:row r="21">
      <x:c r="A21" s="11" t="str">
        <x:v>Is data-center growth under-modeled?</x:v>
      </x:c>
      <x:c r="B21" s="11" t="str">
        <x:v>SP revenue growth and duration</x:v>
      </x:c>
      <x:c r="C21" s="11" t="str">
        <x:v>Sharp deceleration after 2026</x:v>
      </x:c>
      <x:c r="D21" s="11" t="str">
        <x:v>Mid-teens growth through 2028</x:v>
      </x:c>
      <x:c r="E21" s="11" t="str">
        <x:v>20%+ growth persists</x:v>
      </x:c>
      <x:c r="F21" s="11" t="str">
        <x:v>Assumptions / Operating Model</x:v>
      </x:c>
    </x:row>
    <x:row r="22">
      <x:c r="A22" s="11" t="str">
        <x:v>Does growth convert to earnings?</x:v>
      </x:c>
      <x:c r="B22" s="11" t="str">
        <x:v>SP and consolidated margins</x:v>
      </x:c>
      <x:c r="C22" s="11" t="str">
        <x:v>SP margin near 21%-22%</x:v>
      </x:c>
      <x:c r="D22" s="11" t="str">
        <x:v>Group reaches ~22%</x:v>
      </x:c>
      <x:c r="E22" s="11" t="str">
        <x:v>SP margin reaches 24%+</x:v>
      </x:c>
      <x:c r="F22" s="11" t="str">
        <x:v>Operating Model</x:v>
      </x:c>
    </x:row>
    <x:row r="23">
      <x:c r="A23" s="11" t="str">
        <x:v>Does valuation offer a margin of safety?</x:v>
      </x:c>
      <x:c r="B23" s="11" t="str">
        <x:v>DCF sensitivity and downside</x:v>
      </x:c>
      <x:c r="C23" s="11" t="str">
        <x:v>Requires aggressive terminal inputs</x:v>
      </x:c>
      <x:c r="D23" s="11" t="str">
        <x:v>Mixed support</x:v>
      </x:c>
      <x:c r="E23" s="11" t="str">
        <x:v>Supported across methods</x:v>
      </x:c>
      <x:c r="F23" s="11" t="str">
        <x:v>DCF / SOTP / Comps</x:v>
      </x:c>
    </x:row>
    <x:row r="24">
      <x:c r="A24" s="11" t="str">
        <x:v>Is the model reliable?</x:v>
      </x:c>
      <x:c r="B24" s="11" t="str">
        <x:v>Check status and source dates</x:v>
      </x:c>
      <x:c r="C24" s="11" t="str">
        <x:v>CHECK</x:v>
      </x:c>
      <x:c r="D24" s="11" t="str">
        <x:v>OK</x:v>
      </x:c>
      <x:c r="E24" s="11" t="str">
        <x:v>OK + refreshed market data</x:v>
      </x:c>
      <x:c r="F24" s="11" t="str">
        <x:v>Checks / Sources</x:v>
      </x:c>
    </x:row>
    <x:row r="27" ht="20" customHeight="1">
      <x:c r="A27" s="20" t="str">
        <x:v>Model status</x:v>
      </x:c>
      <x:c r="B27" s="20"/>
      <x:c r="C27" s="20"/>
    </x:row>
    <x:row r="28">
      <x:c r="A28" t="str">
        <x:v>Checks</x:v>
      </x:c>
      <x:c r="B28" s="74" t="str">
        <x:f>'Checks'!$B$15</x:f>
        <x:v>OK</x:v>
      </x:c>
    </x:row>
  </x:sheetData>
  <x:mergeCells>
    <x:mergeCell ref="A1:H1"/>
    <x:mergeCell ref="A2:H2"/>
    <x:mergeCell ref="A11:F11"/>
    <x:mergeCell ref="A19:F19"/>
    <x:mergeCell ref="A27:C27"/>
  </x:mergeCells>
  <x:conditionalFormatting sqref="B28:B28">
    <x:cfRule type="containsText" dxfId="4" priority="1" operator="containsText" text="OK"/>
    <x:cfRule type="containsText" dxfId="5" priority="2" operator="containsText" text="CHEC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3" t="str">
        <x:v>Historical Financials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USD millions except per-share data. Annual and quarterly figures reflect continuing operations.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0" customHeight="1">
      <x:c r="A4" s="20" t="str">
        <x:v>Annual historical financials</x:v>
      </x:c>
      <x:c r="B4" s="20"/>
      <x:c r="C4" s="20"/>
      <x:c r="D4" s="20"/>
      <x:c r="E4" s="20"/>
    </x:row>
    <x:row r="5">
      <x:c r="A5" s="26" t="str">
        <x:v>USD millions</x:v>
      </x:c>
      <x:c r="B5" s="25" t="n">
        <x:v>45291</x:v>
      </x:c>
      <x:c r="C5" s="25" t="n">
        <x:v>45657</x:v>
      </x:c>
      <x:c r="D5" s="25" t="n">
        <x:v>46022</x:v>
      </x:c>
      <x:c r="E5" s="8" t="str">
        <x:v>Source</x:v>
      </x:c>
    </x:row>
    <x:row r="6">
      <x:c r="A6" t="str">
        <x:v>Systems Protection revenue</x:v>
      </x:c>
      <x:c r="B6" s="27" t="n">
        <x:v>1605.9</x:v>
      </x:c>
      <x:c r="C6" s="27" t="n">
        <x:v>1823.3</x:v>
      </x:c>
      <x:c r="D6" s="27" t="n">
        <x:v>2592.9</x:v>
      </x:c>
      <x:c r="E6" t="str">
        <x:v>S01</x:v>
      </x:c>
    </x:row>
    <x:row r="7">
      <x:c r="A7" t="str">
        <x:v>Electrical Connections revenue</x:v>
      </x:c>
      <x:c r="B7" s="27" t="n">
        <x:v>1063</x:v>
      </x:c>
      <x:c r="C7" s="27" t="n">
        <x:v>1182.8</x:v>
      </x:c>
      <x:c r="D7" s="27" t="n">
        <x:v>1300.2</x:v>
      </x:c>
      <x:c r="E7" t="str">
        <x:v>S01</x:v>
      </x:c>
    </x:row>
    <x:row r="8">
      <x:c r="A8" s="32" t="str">
        <x:v>Total revenue</x:v>
      </x:c>
      <x:c r="B8" s="33" t="n">
        <x:v>2668.9</x:v>
      </x:c>
      <x:c r="C8" s="33" t="n">
        <x:v>3006.1</x:v>
      </x:c>
      <x:c r="D8" s="33" t="n">
        <x:v>3893.1</x:v>
      </x:c>
      <x:c r="E8" t="str">
        <x:v>S01</x:v>
      </x:c>
    </x:row>
    <x:row r="9">
      <x:c r="A9" t="str">
        <x:v>Revenue growth</x:v>
      </x:c>
      <x:c r="B9" s="28"/>
      <x:c r="C9" s="28" t="n">
        <x:v>0.1263</x:v>
      </x:c>
      <x:c r="D9" s="28" t="n">
        <x:v>0.2951</x:v>
      </x:c>
      <x:c r="E9" t="str">
        <x:v>S01</x:v>
      </x:c>
    </x:row>
    <x:row r="10">
      <x:c r="A10" t="str">
        <x:v>Systems Protection segment income</x:v>
      </x:c>
      <x:c r="B10" s="27" t="n">
        <x:v>346.6</x:v>
      </x:c>
      <x:c r="C10" s="27" t="n">
        <x:v>403.1</x:v>
      </x:c>
      <x:c r="D10" s="27" t="n">
        <x:v>537</x:v>
      </x:c>
      <x:c r="E10" t="str">
        <x:v>S01</x:v>
      </x:c>
    </x:row>
    <x:row r="11">
      <x:c r="A11" t="str">
        <x:v>Systems Protection margin</x:v>
      </x:c>
      <x:c r="B11" s="28" t="n">
        <x:v>0.2158</x:v>
      </x:c>
      <x:c r="C11" s="28" t="n">
        <x:v>0.2211</x:v>
      </x:c>
      <x:c r="D11" s="28" t="n">
        <x:v>0.2071</x:v>
      </x:c>
      <x:c r="E11" t="str">
        <x:v>S01</x:v>
      </x:c>
    </x:row>
    <x:row r="12">
      <x:c r="A12" t="str">
        <x:v>Electrical Connections segment income</x:v>
      </x:c>
      <x:c r="B12" s="27" t="n">
        <x:v>330.6</x:v>
      </x:c>
      <x:c r="C12" s="27" t="n">
        <x:v>354.5</x:v>
      </x:c>
      <x:c r="D12" s="27" t="n">
        <x:v>372.6</x:v>
      </x:c>
      <x:c r="E12" t="str">
        <x:v>S01</x:v>
      </x:c>
    </x:row>
    <x:row r="13">
      <x:c r="A13" t="str">
        <x:v>Electrical Connections margin</x:v>
      </x:c>
      <x:c r="B13" s="28" t="n">
        <x:v>0.311</x:v>
      </x:c>
      <x:c r="C13" s="28" t="n">
        <x:v>0.2997</x:v>
      </x:c>
      <x:c r="D13" s="28" t="n">
        <x:v>0.2866</x:v>
      </x:c>
      <x:c r="E13" t="str">
        <x:v>S01</x:v>
      </x:c>
    </x:row>
    <x:row r="14">
      <x:c r="A14" t="str">
        <x:v>Enterprise &amp; other</x:v>
      </x:c>
      <x:c r="B14" s="27" t="n">
        <x:v>-110.6</x:v>
      </x:c>
      <x:c r="C14" s="27" t="n">
        <x:v>-105.6</x:v>
      </x:c>
      <x:c r="D14" s="27" t="n">
        <x:v>-123.8</x:v>
      </x:c>
      <x:c r="E14" t="str">
        <x:v>S03</x:v>
      </x:c>
    </x:row>
    <x:row r="15">
      <x:c r="A15" s="32" t="str">
        <x:v>Adjusted operating income</x:v>
      </x:c>
      <x:c r="B15" s="33" t="n">
        <x:v>566.6</x:v>
      </x:c>
      <x:c r="C15" s="33" t="n">
        <x:v>652</x:v>
      </x:c>
      <x:c r="D15" s="33" t="n">
        <x:v>785.8</x:v>
      </x:c>
      <x:c r="E15" t="str">
        <x:v>S03</x:v>
      </x:c>
    </x:row>
    <x:row r="16">
      <x:c r="A16" t="str">
        <x:v>Adjusted operating margin</x:v>
      </x:c>
      <x:c r="B16" s="28" t="n">
        <x:v>0.2123</x:v>
      </x:c>
      <x:c r="C16" s="28" t="n">
        <x:v>0.2169</x:v>
      </x:c>
      <x:c r="D16" s="28" t="n">
        <x:v>0.2018</x:v>
      </x:c>
      <x:c r="E16" t="str">
        <x:v>S03</x:v>
      </x:c>
    </x:row>
    <x:row r="17">
      <x:c r="A17" t="str">
        <x:v>Adjusted EPS</x:v>
      </x:c>
      <x:c r="B17" s="29" t="n">
        <x:v>2.32</x:v>
      </x:c>
      <x:c r="C17" s="29" t="n">
        <x:v>2.49</x:v>
      </x:c>
      <x:c r="D17" s="29" t="n">
        <x:v>3.35</x:v>
      </x:c>
      <x:c r="E17" t="str">
        <x:v>S03</x:v>
      </x:c>
    </x:row>
    <x:row r="18">
      <x:c r="A18" t="str">
        <x:v>Cash from operations</x:v>
      </x:c>
      <x:c r="B18" s="27" t="n">
        <x:v>422.2</x:v>
      </x:c>
      <x:c r="C18" s="27" t="n">
        <x:v>501</x:v>
      </x:c>
      <x:c r="D18" s="27" t="n">
        <x:v>649</x:v>
      </x:c>
      <x:c r="E18" t="str">
        <x:v>S03</x:v>
      </x:c>
    </x:row>
    <x:row r="19">
      <x:c r="A19" t="str">
        <x:v>Capital expenditures</x:v>
      </x:c>
      <x:c r="B19" s="27" t="n">
        <x:v>65.6</x:v>
      </x:c>
      <x:c r="C19" s="27" t="n">
        <x:v>74</x:v>
      </x:c>
      <x:c r="D19" s="27" t="n">
        <x:v>93.3</x:v>
      </x:c>
      <x:c r="E19" t="str">
        <x:v>S03</x:v>
      </x:c>
    </x:row>
    <x:row r="20">
      <x:c r="A20" s="32" t="str">
        <x:v>Free cash flow</x:v>
      </x:c>
      <x:c r="B20" s="33" t="n">
        <x:v>356.7</x:v>
      </x:c>
      <x:c r="C20" s="33" t="n">
        <x:v>427.5</x:v>
      </x:c>
      <x:c r="D20" s="33" t="n">
        <x:v>561</x:v>
      </x:c>
      <x:c r="E20" t="str">
        <x:v>S03</x:v>
      </x:c>
    </x:row>
    <x:row r="21">
      <x:c r="A21" t="str">
        <x:v>Cash balance</x:v>
      </x:c>
      <x:c r="B21" s="27" t="n">
        <x:v>179.6</x:v>
      </x:c>
      <x:c r="C21" s="27" t="n">
        <x:v>131.2</x:v>
      </x:c>
      <x:c r="D21" s="27" t="n">
        <x:v>237.5</x:v>
      </x:c>
      <x:c r="E21" t="str">
        <x:v>S01</x:v>
      </x:c>
    </x:row>
    <x:row r="24" ht="20" customHeight="1">
      <x:c r="A24" s="20" t="str">
        <x:v>Quarterly segment history</x:v>
      </x:c>
      <x:c r="B24" s="20"/>
      <x:c r="C24" s="20"/>
      <x:c r="D24" s="20"/>
      <x:c r="E24" s="20"/>
      <x:c r="F24" s="20"/>
      <x:c r="G24" s="20"/>
      <x:c r="H24" s="20"/>
      <x:c r="I24" s="20"/>
      <x:c r="J24" s="20"/>
    </x:row>
    <x:row r="25">
      <x:c r="A25" s="26" t="str">
        <x:v>USD millions</x:v>
      </x:c>
      <x:c r="B25" s="37" t="n">
        <x:v>45747</x:v>
      </x:c>
      <x:c r="C25" s="37" t="n">
        <x:v>45838</x:v>
      </x:c>
      <x:c r="D25" s="37" t="n">
        <x:v>45930</x:v>
      </x:c>
      <x:c r="E25" s="37" t="n">
        <x:v>46022</x:v>
      </x:c>
      <x:c r="F25" s="37" t="n">
        <x:v>46112</x:v>
      </x:c>
      <x:c r="G25" s="8" t="str">
        <x:v>Source</x:v>
      </x:c>
    </x:row>
    <x:row r="26">
      <x:c r="A26" t="str">
        <x:v>Systems Protection revenue</x:v>
      </x:c>
      <x:c r="B26" s="27" t="n">
        <x:v>508.2</x:v>
      </x:c>
      <x:c r="C26" s="27" t="n">
        <x:v>632</x:v>
      </x:c>
      <x:c r="D26" s="27" t="n">
        <x:v>715.6</x:v>
      </x:c>
      <x:c r="E26" s="27" t="n">
        <x:v>737.1</x:v>
      </x:c>
      <x:c r="F26" s="27" t="n">
        <x:v>895</x:v>
      </x:c>
      <x:c r="G26" t="str">
        <x:v>S03/S05</x:v>
      </x:c>
    </x:row>
    <x:row r="27">
      <x:c r="A27" t="str">
        <x:v>Electrical Connections revenue</x:v>
      </x:c>
      <x:c r="B27" s="27" t="n">
        <x:v>301.1</x:v>
      </x:c>
      <x:c r="C27" s="27" t="n">
        <x:v>331.1</x:v>
      </x:c>
      <x:c r="D27" s="27" t="n">
        <x:v>338.4</x:v>
      </x:c>
      <x:c r="E27" s="27" t="n">
        <x:v>329.6</x:v>
      </x:c>
      <x:c r="F27" s="27" t="n">
        <x:v>347</x:v>
      </x:c>
      <x:c r="G27" t="str">
        <x:v>S03/S05</x:v>
      </x:c>
    </x:row>
    <x:row r="28">
      <x:c r="A28" s="32" t="str">
        <x:v>Total revenue</x:v>
      </x:c>
      <x:c r="B28" s="33" t="n">
        <x:v>809.3</x:v>
      </x:c>
      <x:c r="C28" s="33" t="n">
        <x:v>963.1</x:v>
      </x:c>
      <x:c r="D28" s="33" t="n">
        <x:v>1054</x:v>
      </x:c>
      <x:c r="E28" s="33" t="n">
        <x:v>1066.7</x:v>
      </x:c>
      <x:c r="F28" s="33" t="n">
        <x:v>1242</x:v>
      </x:c>
      <x:c r="G28" t="str">
        <x:v>S03/S05</x:v>
      </x:c>
    </x:row>
    <x:row r="29">
      <x:c r="A29" t="str">
        <x:v>Systems Protection segment income</x:v>
      </x:c>
      <x:c r="B29" s="27" t="n">
        <x:v>104.2</x:v>
      </x:c>
      <x:c r="C29" s="27" t="n">
        <x:v>137.1</x:v>
      </x:c>
      <x:c r="D29" s="27" t="n">
        <x:v>146.2</x:v>
      </x:c>
      <x:c r="E29" s="27" t="n">
        <x:v>149.5</x:v>
      </x:c>
      <x:c r="F29" s="27" t="n">
        <x:v>203</x:v>
      </x:c>
      <x:c r="G29" t="str">
        <x:v>S03/S05</x:v>
      </x:c>
    </x:row>
    <x:row r="30">
      <x:c r="A30" t="str">
        <x:v>Systems Protection margin</x:v>
      </x:c>
      <x:c r="B30" s="28" t="n">
        <x:v>0.205</x:v>
      </x:c>
      <x:c r="C30" s="28" t="n">
        <x:v>0.217</x:v>
      </x:c>
      <x:c r="D30" s="28" t="n">
        <x:v>0.204</x:v>
      </x:c>
      <x:c r="E30" s="28" t="n">
        <x:v>0.203</x:v>
      </x:c>
      <x:c r="F30" s="28" t="n">
        <x:v>0.227</x:v>
      </x:c>
      <x:c r="G30" t="str">
        <x:v>S03/S05</x:v>
      </x:c>
    </x:row>
    <x:row r="31">
      <x:c r="A31" t="str">
        <x:v>Electrical Connections segment income</x:v>
      </x:c>
      <x:c r="B31" s="27" t="n">
        <x:v>85.1</x:v>
      </x:c>
      <x:c r="C31" s="27" t="n">
        <x:v>94.9</x:v>
      </x:c>
      <x:c r="D31" s="27" t="n">
        <x:v>101.6</x:v>
      </x:c>
      <x:c r="E31" s="27" t="n">
        <x:v>91</x:v>
      </x:c>
      <x:c r="F31" s="27" t="n">
        <x:v>85</x:v>
      </x:c>
      <x:c r="G31" t="str">
        <x:v>S03/S05</x:v>
      </x:c>
    </x:row>
    <x:row r="32">
      <x:c r="A32" t="str">
        <x:v>Electrical Connections margin</x:v>
      </x:c>
      <x:c r="B32" s="28" t="n">
        <x:v>0.283</x:v>
      </x:c>
      <x:c r="C32" s="28" t="n">
        <x:v>0.287</x:v>
      </x:c>
      <x:c r="D32" s="28" t="n">
        <x:v>0.3</x:v>
      </x:c>
      <x:c r="E32" s="28" t="n">
        <x:v>0.276</x:v>
      </x:c>
      <x:c r="F32" s="28" t="n">
        <x:v>0.244</x:v>
      </x:c>
      <x:c r="G32" t="str">
        <x:v>S03/S05</x:v>
      </x:c>
    </x:row>
    <x:row r="33">
      <x:c r="A33" t="str">
        <x:v>Enterprise &amp; other</x:v>
      </x:c>
      <x:c r="B33" s="27" t="n">
        <x:v>-27.1</x:v>
      </x:c>
      <x:c r="C33" s="27" t="n">
        <x:v>-32</x:v>
      </x:c>
      <x:c r="D33" s="27" t="n">
        <x:v>-34.5</x:v>
      </x:c>
      <x:c r="E33" s="27" t="n">
        <x:v>-30.2</x:v>
      </x:c>
      <x:c r="F33" s="27" t="n">
        <x:v>-39.5</x:v>
      </x:c>
      <x:c r="G33" t="str">
        <x:v>S03/S05</x:v>
      </x:c>
    </x:row>
    <x:row r="34">
      <x:c r="A34" s="32" t="str">
        <x:v>Adjusted operating income</x:v>
      </x:c>
      <x:c r="B34" s="33" t="n">
        <x:v>162.2</x:v>
      </x:c>
      <x:c r="C34" s="33" t="n">
        <x:v>200</x:v>
      </x:c>
      <x:c r="D34" s="33" t="n">
        <x:v>213.3</x:v>
      </x:c>
      <x:c r="E34" s="33" t="n">
        <x:v>210.3</x:v>
      </x:c>
      <x:c r="F34" s="33" t="n">
        <x:v>248.5</x:v>
      </x:c>
      <x:c r="G34" t="str">
        <x:v>S03/S05</x:v>
      </x:c>
    </x:row>
    <x:row r="35">
      <x:c r="A35" t="str">
        <x:v>Adjusted operating margin</x:v>
      </x:c>
      <x:c r="B35" s="28" t="n">
        <x:v>0.2</x:v>
      </x:c>
      <x:c r="C35" s="28" t="n">
        <x:v>0.208</x:v>
      </x:c>
      <x:c r="D35" s="28" t="n">
        <x:v>0.202</x:v>
      </x:c>
      <x:c r="E35" s="28" t="n">
        <x:v>0.197</x:v>
      </x:c>
      <x:c r="F35" s="28" t="n">
        <x:v>0.2</x:v>
      </x:c>
      <x:c r="G35" t="str">
        <x:v>S03/S05</x:v>
      </x:c>
    </x:row>
    <x:row r="36">
      <x:c r="A36" t="str">
        <x:v>Adjusted EPS</x:v>
      </x:c>
      <x:c r="B36" s="29" t="n">
        <x:v>0.67</x:v>
      </x:c>
      <x:c r="C36" s="29" t="n">
        <x:v>0.86</x:v>
      </x:c>
      <x:c r="D36" s="29" t="n">
        <x:v>0.91</x:v>
      </x:c>
      <x:c r="E36" s="29" t="n">
        <x:v>0.9</x:v>
      </x:c>
      <x:c r="F36" s="29" t="n">
        <x:v>1.09</x:v>
      </x:c>
      <x:c r="G36" t="str">
        <x:v>S03/S05</x:v>
      </x:c>
    </x:row>
  </x:sheetData>
  <x:mergeCells>
    <x:mergeCell ref="A1:J1"/>
    <x:mergeCell ref="A2:J2"/>
    <x:mergeCell ref="A4:E4"/>
    <x:mergeCell ref="A24:J24"/>
  </x:mergeCells>
  <x:pageMargins left="0.7" right="0.7" top="0.75" bottom="0.75" header="0.3" footer="0.3"/>
  <x:legacyDrawing xmlns:r="http://schemas.openxmlformats.org/officeDocument/2006/relationships" r:id="Rc5431a73eb6a4f0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" t="str">
        <x:v>Model Assumptions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6" t="str">
        <x:v>Blue font / yellow fill = user-editable. Change the active case in B3 to update the operating model and DCF.</x:v>
      </x:c>
      <x:c r="B2" s="6"/>
      <x:c r="C2" s="6"/>
      <x:c r="D2" s="6"/>
      <x:c r="E2" s="6"/>
      <x:c r="F2" s="6"/>
      <x:c r="G2" s="6"/>
      <x:c r="H2" s="6"/>
      <x:c r="I2" s="6"/>
    </x:row>
    <x:row r="3">
      <x:c r="A3" t="str">
        <x:v>Active case</x:v>
      </x:c>
      <x:c r="B3" s="39" t="str">
        <x:v>Base</x:v>
      </x:c>
      <x:c r="D3" s="41" t="n">
        <x:v>46387</x:v>
      </x:c>
      <x:c r="E3" s="41" t="n">
        <x:v>46752</x:v>
      </x:c>
      <x:c r="F3" s="41" t="n">
        <x:v>47118</x:v>
      </x:c>
      <x:c r="G3" s="41" t="n">
        <x:v>47483</x:v>
      </x:c>
      <x:c r="H3" s="41" t="n">
        <x:v>47848</x:v>
      </x:c>
      <x:c r="I3" s="41" t="n">
        <x:v>48213</x:v>
      </x:c>
    </x:row>
    <x:row r="5" ht="20" customHeight="1">
      <x:c r="A5" s="20" t="str">
        <x:v>Revenue growth assumptions</x:v>
      </x:c>
      <x:c r="B5" s="20"/>
      <x:c r="C5" s="20"/>
      <x:c r="D5" s="20"/>
      <x:c r="E5" s="20"/>
      <x:c r="F5" s="20"/>
      <x:c r="G5" s="20"/>
      <x:c r="H5" s="20"/>
      <x:c r="I5" s="20"/>
    </x:row>
    <x:row r="6">
      <x:c r="A6" t="str">
        <x:v>Systems Protection growth - Bear</x:v>
      </x:c>
      <x:c r="D6" s="42" t="n">
        <x:v>0.35</x:v>
      </x:c>
      <x:c r="E6" s="42" t="n">
        <x:v>0.12</x:v>
      </x:c>
      <x:c r="F6" s="42" t="n">
        <x:v>0.08</x:v>
      </x:c>
      <x:c r="G6" s="42" t="n">
        <x:v>0.06</x:v>
      </x:c>
      <x:c r="H6" s="42" t="n">
        <x:v>0.05</x:v>
      </x:c>
      <x:c r="I6" s="42" t="n">
        <x:v>0.04</x:v>
      </x:c>
    </x:row>
    <x:row r="7">
      <x:c r="A7" t="str">
        <x:v>Systems Protection growth - Base</x:v>
      </x:c>
      <x:c r="D7" s="42" t="n">
        <x:v>0.387</x:v>
      </x:c>
      <x:c r="E7" s="42" t="n">
        <x:v>0.185</x:v>
      </x:c>
      <x:c r="F7" s="42" t="n">
        <x:v>0.16</x:v>
      </x:c>
      <x:c r="G7" s="42" t="n">
        <x:v>0.13</x:v>
      </x:c>
      <x:c r="H7" s="42" t="n">
        <x:v>0.1</x:v>
      </x:c>
      <x:c r="I7" s="42" t="n">
        <x:v>0.08</x:v>
      </x:c>
    </x:row>
    <x:row r="8">
      <x:c r="A8" t="str">
        <x:v>Systems Protection growth - Bull</x:v>
      </x:c>
      <x:c r="D8" s="42" t="n">
        <x:v>0.42</x:v>
      </x:c>
      <x:c r="E8" s="42" t="n">
        <x:v>0.23</x:v>
      </x:c>
      <x:c r="F8" s="42" t="n">
        <x:v>0.2</x:v>
      </x:c>
      <x:c r="G8" s="42" t="n">
        <x:v>0.16</x:v>
      </x:c>
      <x:c r="H8" s="42" t="n">
        <x:v>0.13</x:v>
      </x:c>
      <x:c r="I8" s="42" t="n">
        <x:v>0.1</x:v>
      </x:c>
    </x:row>
    <x:row r="9">
      <x:c r="A9" t="str">
        <x:v>Electrical Connections growth - Bear</x:v>
      </x:c>
      <x:c r="D9" s="42" t="n">
        <x:v>0.07</x:v>
      </x:c>
      <x:c r="E9" s="42" t="n">
        <x:v>0.04</x:v>
      </x:c>
      <x:c r="F9" s="42" t="n">
        <x:v>0.03</x:v>
      </x:c>
      <x:c r="G9" s="42" t="n">
        <x:v>0.03</x:v>
      </x:c>
      <x:c r="H9" s="42" t="n">
        <x:v>0.02</x:v>
      </x:c>
      <x:c r="I9" s="42" t="n">
        <x:v>0.02</x:v>
      </x:c>
    </x:row>
    <x:row r="10">
      <x:c r="A10" t="str">
        <x:v>Electrical Connections growth - Base</x:v>
      </x:c>
      <x:c r="D10" s="42" t="n">
        <x:v>0.08</x:v>
      </x:c>
      <x:c r="E10" s="42" t="n">
        <x:v>0.065</x:v>
      </x:c>
      <x:c r="F10" s="42" t="n">
        <x:v>0.06</x:v>
      </x:c>
      <x:c r="G10" s="42" t="n">
        <x:v>0.05</x:v>
      </x:c>
      <x:c r="H10" s="42" t="n">
        <x:v>0.04</x:v>
      </x:c>
      <x:c r="I10" s="42" t="n">
        <x:v>0.03</x:v>
      </x:c>
    </x:row>
    <x:row r="11">
      <x:c r="A11" t="str">
        <x:v>Electrical Connections growth - Bull</x:v>
      </x:c>
      <x:c r="D11" s="42" t="n">
        <x:v>0.09</x:v>
      </x:c>
      <x:c r="E11" s="42" t="n">
        <x:v>0.08</x:v>
      </x:c>
      <x:c r="F11" s="42" t="n">
        <x:v>0.07</x:v>
      </x:c>
      <x:c r="G11" s="42" t="n">
        <x:v>0.06</x:v>
      </x:c>
      <x:c r="H11" s="42" t="n">
        <x:v>0.05</x:v>
      </x:c>
      <x:c r="I11" s="42" t="n">
        <x:v>0.04</x:v>
      </x:c>
    </x:row>
    <x:row r="13" ht="20" customHeight="1">
      <x:c r="A13" s="20" t="str">
        <x:v>Segment margin assumptions</x:v>
      </x:c>
      <x:c r="B13" s="20"/>
      <x:c r="C13" s="20"/>
      <x:c r="D13" s="20"/>
      <x:c r="E13" s="20"/>
      <x:c r="F13" s="20"/>
      <x:c r="G13" s="20"/>
      <x:c r="H13" s="20"/>
      <x:c r="I13" s="20"/>
    </x:row>
    <x:row r="14">
      <x:c r="A14" t="str">
        <x:v>Systems Protection margin - Bear</x:v>
      </x:c>
      <x:c r="D14" s="42" t="n">
        <x:v>0.215</x:v>
      </x:c>
      <x:c r="E14" s="42" t="n">
        <x:v>0.215</x:v>
      </x:c>
      <x:c r="F14" s="42" t="n">
        <x:v>0.218</x:v>
      </x:c>
      <x:c r="G14" s="42" t="n">
        <x:v>0.22</x:v>
      </x:c>
      <x:c r="H14" s="42" t="n">
        <x:v>0.22</x:v>
      </x:c>
      <x:c r="I14" s="42" t="n">
        <x:v>0.22</x:v>
      </x:c>
    </x:row>
    <x:row r="15">
      <x:c r="A15" t="str">
        <x:v>Systems Protection margin - Base</x:v>
      </x:c>
      <x:c r="D15" s="42" t="n">
        <x:v>0.222</x:v>
      </x:c>
      <x:c r="E15" s="42" t="n">
        <x:v>0.233</x:v>
      </x:c>
      <x:c r="F15" s="42" t="n">
        <x:v>0.238</x:v>
      </x:c>
      <x:c r="G15" s="42" t="n">
        <x:v>0.24</x:v>
      </x:c>
      <x:c r="H15" s="42" t="n">
        <x:v>0.24</x:v>
      </x:c>
      <x:c r="I15" s="42" t="n">
        <x:v>0.24</x:v>
      </x:c>
    </x:row>
    <x:row r="16">
      <x:c r="A16" t="str">
        <x:v>Systems Protection margin - Bull</x:v>
      </x:c>
      <x:c r="D16" s="42" t="n">
        <x:v>0.228</x:v>
      </x:c>
      <x:c r="E16" s="42" t="n">
        <x:v>0.24</x:v>
      </x:c>
      <x:c r="F16" s="42" t="n">
        <x:v>0.248</x:v>
      </x:c>
      <x:c r="G16" s="42" t="n">
        <x:v>0.25</x:v>
      </x:c>
      <x:c r="H16" s="42" t="n">
        <x:v>0.25</x:v>
      </x:c>
      <x:c r="I16" s="42" t="n">
        <x:v>0.25</x:v>
      </x:c>
    </x:row>
    <x:row r="17">
      <x:c r="A17" t="str">
        <x:v>Electrical Connections margin - Bear</x:v>
      </x:c>
      <x:c r="D17" s="42" t="n">
        <x:v>0.245</x:v>
      </x:c>
      <x:c r="E17" s="42" t="n">
        <x:v>0.25</x:v>
      </x:c>
      <x:c r="F17" s="42" t="n">
        <x:v>0.255</x:v>
      </x:c>
      <x:c r="G17" s="42" t="n">
        <x:v>0.26</x:v>
      </x:c>
      <x:c r="H17" s="42" t="n">
        <x:v>0.26</x:v>
      </x:c>
      <x:c r="I17" s="42" t="n">
        <x:v>0.26</x:v>
      </x:c>
    </x:row>
    <x:row r="18">
      <x:c r="A18" t="str">
        <x:v>Electrical Connections margin - Base</x:v>
      </x:c>
      <x:c r="D18" s="42" t="n">
        <x:v>0.255</x:v>
      </x:c>
      <x:c r="E18" s="42" t="n">
        <x:v>0.275</x:v>
      </x:c>
      <x:c r="F18" s="42" t="n">
        <x:v>0.28</x:v>
      </x:c>
      <x:c r="G18" s="42" t="n">
        <x:v>0.285</x:v>
      </x:c>
      <x:c r="H18" s="42" t="n">
        <x:v>0.29</x:v>
      </x:c>
      <x:c r="I18" s="42" t="n">
        <x:v>0.29</x:v>
      </x:c>
    </x:row>
    <x:row r="19">
      <x:c r="A19" t="str">
        <x:v>Electrical Connections margin - Bull</x:v>
      </x:c>
      <x:c r="D19" s="42" t="n">
        <x:v>0.265</x:v>
      </x:c>
      <x:c r="E19" s="42" t="n">
        <x:v>0.28</x:v>
      </x:c>
      <x:c r="F19" s="42" t="n">
        <x:v>0.29</x:v>
      </x:c>
      <x:c r="G19" s="42" t="n">
        <x:v>0.295</x:v>
      </x:c>
      <x:c r="H19" s="42" t="n">
        <x:v>0.3</x:v>
      </x:c>
      <x:c r="I19" s="42" t="n">
        <x:v>0.3</x:v>
      </x:c>
    </x:row>
    <x:row r="21" ht="20" customHeight="1">
      <x:c r="A21" s="20" t="str">
        <x:v>Consolidated cash-flow assumptions</x:v>
      </x:c>
      <x:c r="B21" s="20"/>
      <x:c r="C21" s="20"/>
      <x:c r="D21" s="20"/>
      <x:c r="E21" s="20"/>
      <x:c r="F21" s="20"/>
      <x:c r="G21" s="20"/>
      <x:c r="H21" s="20"/>
      <x:c r="I21" s="20"/>
    </x:row>
    <x:row r="22">
      <x:c r="A22" t="str">
        <x:v>Enterprise &amp; other expense</x:v>
      </x:c>
      <x:c r="B22"/>
      <x:c r="C22"/>
      <x:c r="D22" s="43" t="n">
        <x:v>135</x:v>
      </x:c>
      <x:c r="E22" s="43" t="n">
        <x:v>139</x:v>
      </x:c>
      <x:c r="F22" s="43" t="n">
        <x:v>143</x:v>
      </x:c>
      <x:c r="G22" s="43" t="n">
        <x:v>147</x:v>
      </x:c>
      <x:c r="H22" s="43" t="n">
        <x:v>151</x:v>
      </x:c>
      <x:c r="I22" s="43" t="n">
        <x:v>156</x:v>
      </x:c>
    </x:row>
    <x:row r="23">
      <x:c r="A23" t="str">
        <x:v>Net interest expense</x:v>
      </x:c>
      <x:c r="B23"/>
      <x:c r="C23"/>
      <x:c r="D23" s="43" t="n">
        <x:v>65</x:v>
      </x:c>
      <x:c r="E23" s="43" t="n">
        <x:v>60</x:v>
      </x:c>
      <x:c r="F23" s="43" t="n">
        <x:v>55</x:v>
      </x:c>
      <x:c r="G23" s="43" t="n">
        <x:v>50</x:v>
      </x:c>
      <x:c r="H23" s="43" t="n">
        <x:v>45</x:v>
      </x:c>
      <x:c r="I23" s="43" t="n">
        <x:v>40</x:v>
      </x:c>
    </x:row>
    <x:row r="24">
      <x:c r="A24" t="str">
        <x:v>Tax rate</x:v>
      </x:c>
      <x:c r="B24"/>
      <x:c r="C24"/>
      <x:c r="D24" s="42" t="n">
        <x:v>0.22</x:v>
      </x:c>
      <x:c r="E24" s="42" t="n">
        <x:v>0.22</x:v>
      </x:c>
      <x:c r="F24" s="42" t="n">
        <x:v>0.22</x:v>
      </x:c>
      <x:c r="G24" s="42" t="n">
        <x:v>0.22</x:v>
      </x:c>
      <x:c r="H24" s="42" t="n">
        <x:v>0.22</x:v>
      </x:c>
      <x:c r="I24" s="42" t="n">
        <x:v>0.22</x:v>
      </x:c>
    </x:row>
    <x:row r="25">
      <x:c r="A25" t="str">
        <x:v>Diluted shares</x:v>
      </x:c>
      <x:c r="B25"/>
      <x:c r="C25"/>
      <x:c r="D25" s="43" t="n">
        <x:v>164</x:v>
      </x:c>
      <x:c r="E25" s="43" t="n">
        <x:v>162.5</x:v>
      </x:c>
      <x:c r="F25" s="43" t="n">
        <x:v>161</x:v>
      </x:c>
      <x:c r="G25" s="43" t="n">
        <x:v>160</x:v>
      </x:c>
      <x:c r="H25" s="43" t="n">
        <x:v>159</x:v>
      </x:c>
      <x:c r="I25" s="43" t="n">
        <x:v>158</x:v>
      </x:c>
    </x:row>
    <x:row r="26">
      <x:c r="A26" t="str">
        <x:v>PPA intangible amortization</x:v>
      </x:c>
      <x:c r="B26"/>
      <x:c r="C26"/>
      <x:c r="D26" s="43" t="n">
        <x:v>153.8</x:v>
      </x:c>
      <x:c r="E26" s="43" t="n">
        <x:v>136.3</x:v>
      </x:c>
      <x:c r="F26" s="43" t="n">
        <x:v>111</x:v>
      </x:c>
      <x:c r="G26" s="43" t="n">
        <x:v>111</x:v>
      </x:c>
      <x:c r="H26" s="43" t="n">
        <x:v>107.8</x:v>
      </x:c>
      <x:c r="I26" s="43" t="n">
        <x:v>105.6</x:v>
      </x:c>
    </x:row>
    <x:row r="27">
      <x:c r="A27" t="str">
        <x:v>Depreciation as % of revenue</x:v>
      </x:c>
      <x:c r="B27"/>
      <x:c r="C27"/>
      <x:c r="D27" s="42" t="n">
        <x:v>0.015</x:v>
      </x:c>
      <x:c r="E27" s="42" t="n">
        <x:v>0.015</x:v>
      </x:c>
      <x:c r="F27" s="42" t="n">
        <x:v>0.015</x:v>
      </x:c>
      <x:c r="G27" s="42" t="n">
        <x:v>0.015</x:v>
      </x:c>
      <x:c r="H27" s="42" t="n">
        <x:v>0.015</x:v>
      </x:c>
      <x:c r="I27" s="42" t="n">
        <x:v>0.015</x:v>
      </x:c>
    </x:row>
    <x:row r="28">
      <x:c r="A28" t="str">
        <x:v>Capex as % of revenue</x:v>
      </x:c>
      <x:c r="B28"/>
      <x:c r="C28"/>
      <x:c r="D28" s="42" t="n">
        <x:v>0.026</x:v>
      </x:c>
      <x:c r="E28" s="42" t="n">
        <x:v>0.026</x:v>
      </x:c>
      <x:c r="F28" s="42" t="n">
        <x:v>0.025</x:v>
      </x:c>
      <x:c r="G28" s="42" t="n">
        <x:v>0.024</x:v>
      </x:c>
      <x:c r="H28" s="42" t="n">
        <x:v>0.023</x:v>
      </x:c>
      <x:c r="I28" s="42" t="n">
        <x:v>0.023</x:v>
      </x:c>
    </x:row>
    <x:row r="29">
      <x:c r="A29" t="str">
        <x:v>NWC investment as % of incremental revenue</x:v>
      </x:c>
      <x:c r="B29"/>
      <x:c r="C29"/>
      <x:c r="D29" s="42" t="n">
        <x:v>0.04</x:v>
      </x:c>
      <x:c r="E29" s="42" t="n">
        <x:v>0.04</x:v>
      </x:c>
      <x:c r="F29" s="42" t="n">
        <x:v>0.04</x:v>
      </x:c>
      <x:c r="G29" s="42" t="n">
        <x:v>0.04</x:v>
      </x:c>
      <x:c r="H29" s="42" t="n">
        <x:v>0.04</x:v>
      </x:c>
      <x:c r="I29" s="42" t="n">
        <x:v>0.04</x:v>
      </x:c>
    </x:row>
    <x:row r="31" ht="20" customHeight="1">
      <x:c r="A31" s="20" t="str">
        <x:v>Valuation and market assumptions</x:v>
      </x:c>
      <x:c r="B31" s="20"/>
      <x:c r="C31" s="20"/>
      <x:c r="D31" s="20"/>
      <x:c r="E31" s="20"/>
      <x:c r="F31" s="20"/>
      <x:c r="G31" s="20"/>
      <x:c r="H31" s="20"/>
      <x:c r="I31" s="20"/>
    </x:row>
    <x:row r="32">
      <x:c r="A32" t="str">
        <x:v>Current share price</x:v>
      </x:c>
      <x:c r="B32" s="44" t="n">
        <x:v>159</x:v>
      </x:c>
      <x:c r="D32" t="str">
        <x:v>2026 consensus EPS</x:v>
      </x:c>
      <x:c r="E32" s="44" t="n">
        <x:v>4.61</x:v>
      </x:c>
    </x:row>
    <x:row r="33">
      <x:c r="A33" t="str">
        <x:v>Net debt</x:v>
      </x:c>
      <x:c r="B33" s="43" t="n">
        <x:v>1375</x:v>
      </x:c>
      <x:c r="D33" t="str">
        <x:v>2027 consensus EPS</x:v>
      </x:c>
      <x:c r="E33" s="44" t="n">
        <x:v>5.74</x:v>
      </x:c>
    </x:row>
    <x:row r="34">
      <x:c r="A34" t="str">
        <x:v>Base WACC</x:v>
      </x:c>
      <x:c r="B34" s="42" t="n">
        <x:v>0.085</x:v>
      </x:c>
      <x:c r="D34" t="str">
        <x:v>2026 consensus revenue</x:v>
      </x:c>
      <x:c r="E34" s="43" t="n">
        <x:v>5010</x:v>
      </x:c>
    </x:row>
    <x:row r="35">
      <x:c r="A35" t="str">
        <x:v>Bull WACC</x:v>
      </x:c>
      <x:c r="B35" s="42" t="n">
        <x:v>0.08</x:v>
      </x:c>
      <x:c r="D35" t="str">
        <x:v>2025 data-center revenue</x:v>
      </x:c>
      <x:c r="E35" s="43" t="n">
        <x:v>1000</x:v>
      </x:c>
    </x:row>
    <x:row r="36">
      <x:c r="A36" t="str">
        <x:v>Bear WACC</x:v>
      </x:c>
      <x:c r="B36" s="42" t="n">
        <x:v>0.09</x:v>
      </x:c>
      <x:c r="D36" t="str">
        <x:v>White-space share of DC revenue</x:v>
      </x:c>
      <x:c r="E36" s="42" t="n">
        <x:v>0.775</x:v>
      </x:c>
    </x:row>
    <x:row r="37">
      <x:c r="A37" t="str">
        <x:v>Base terminal growth</x:v>
      </x:c>
      <x:c r="B37" s="42" t="n">
        <x:v>0.03</x:v>
      </x:c>
    </x:row>
    <x:row r="38">
      <x:c r="A38" t="str">
        <x:v>Bull terminal growth</x:v>
      </x:c>
      <x:c r="B38" s="42" t="n">
        <x:v>0.035</x:v>
      </x:c>
    </x:row>
    <x:row r="39">
      <x:c r="A39" t="str">
        <x:v>Bear terminal growth</x:v>
      </x:c>
      <x:c r="B39" s="42" t="n">
        <x:v>0.025</x:v>
      </x:c>
    </x:row>
    <x:row r="40">
      <x:c r="A40" t="str">
        <x:v>Valuation date</x:v>
      </x:c>
      <x:c r="B40" s="45" t="n">
        <x:v>46225</x:v>
      </x:c>
    </x:row>
    <x:row r="42" ht="20" customHeight="1">
      <x:c r="A42" s="20" t="str">
        <x:v>Selected assumptions (formula-driven from active case)</x:v>
      </x:c>
      <x:c r="B42" s="20"/>
      <x:c r="C42" s="20"/>
      <x:c r="D42" s="20"/>
      <x:c r="E42" s="20"/>
      <x:c r="F42" s="20"/>
      <x:c r="G42" s="20"/>
      <x:c r="H42" s="20"/>
      <x:c r="I42" s="20"/>
    </x:row>
    <x:row r="43">
      <x:c r="A43" t="str">
        <x:v>Selected SP growth</x:v>
      </x:c>
      <x:c r="D43" s="47" t="n">
        <x:f>IF($B$3="Bull",D$8,IF($B$3="Bear",D$6,D$7))</x:f>
        <x:v>0.387</x:v>
      </x:c>
      <x:c r="E43" s="47" t="n">
        <x:f>IF($B$3="Bull",E$8,IF($B$3="Bear",E$6,E$7))</x:f>
        <x:v>0.185</x:v>
      </x:c>
      <x:c r="F43" s="47" t="n">
        <x:f>IF($B$3="Bull",F$8,IF($B$3="Bear",F$6,F$7))</x:f>
        <x:v>0.16</x:v>
      </x:c>
      <x:c r="G43" s="47" t="n">
        <x:f>IF($B$3="Bull",G$8,IF($B$3="Bear",G$6,G$7))</x:f>
        <x:v>0.13</x:v>
      </x:c>
      <x:c r="H43" s="47" t="n">
        <x:f>IF($B$3="Bull",H$8,IF($B$3="Bear",H$6,H$7))</x:f>
        <x:v>0.1</x:v>
      </x:c>
      <x:c r="I43" s="47" t="n">
        <x:f>IF($B$3="Bull",I$8,IF($B$3="Bear",I$6,I$7))</x:f>
        <x:v>0.08</x:v>
      </x:c>
    </x:row>
    <x:row r="44">
      <x:c r="A44" t="str">
        <x:v>Selected EC growth</x:v>
      </x:c>
      <x:c r="D44" s="47" t="n">
        <x:f>IF($B$3="Bull",D$11,IF($B$3="Bear",D$9,D$10))</x:f>
        <x:v>0.08</x:v>
      </x:c>
      <x:c r="E44" s="47" t="n">
        <x:f>IF($B$3="Bull",E$11,IF($B$3="Bear",E$9,E$10))</x:f>
        <x:v>0.065</x:v>
      </x:c>
      <x:c r="F44" s="47" t="n">
        <x:f>IF($B$3="Bull",F$11,IF($B$3="Bear",F$9,F$10))</x:f>
        <x:v>0.06</x:v>
      </x:c>
      <x:c r="G44" s="47" t="n">
        <x:f>IF($B$3="Bull",G$11,IF($B$3="Bear",G$9,G$10))</x:f>
        <x:v>0.05</x:v>
      </x:c>
      <x:c r="H44" s="47" t="n">
        <x:f>IF($B$3="Bull",H$11,IF($B$3="Bear",H$9,H$10))</x:f>
        <x:v>0.04</x:v>
      </x:c>
      <x:c r="I44" s="47" t="n">
        <x:f>IF($B$3="Bull",I$11,IF($B$3="Bear",I$9,I$10))</x:f>
        <x:v>0.03</x:v>
      </x:c>
    </x:row>
    <x:row r="45">
      <x:c r="A45" t="str">
        <x:v>Selected SP margin</x:v>
      </x:c>
      <x:c r="D45" s="47" t="n">
        <x:f>IF($B$3="Bull",D$16,IF($B$3="Bear",D$14,D$15))</x:f>
        <x:v>0.222</x:v>
      </x:c>
      <x:c r="E45" s="47" t="n">
        <x:f>IF($B$3="Bull",E$16,IF($B$3="Bear",E$14,E$15))</x:f>
        <x:v>0.233</x:v>
      </x:c>
      <x:c r="F45" s="47" t="n">
        <x:f>IF($B$3="Bull",F$16,IF($B$3="Bear",F$14,F$15))</x:f>
        <x:v>0.238</x:v>
      </x:c>
      <x:c r="G45" s="47" t="n">
        <x:f>IF($B$3="Bull",G$16,IF($B$3="Bear",G$14,G$15))</x:f>
        <x:v>0.24</x:v>
      </x:c>
      <x:c r="H45" s="47" t="n">
        <x:f>IF($B$3="Bull",H$16,IF($B$3="Bear",H$14,H$15))</x:f>
        <x:v>0.24</x:v>
      </x:c>
      <x:c r="I45" s="47" t="n">
        <x:f>IF($B$3="Bull",I$16,IF($B$3="Bear",I$14,I$15))</x:f>
        <x:v>0.24</x:v>
      </x:c>
    </x:row>
    <x:row r="46">
      <x:c r="A46" t="str">
        <x:v>Selected EC margin</x:v>
      </x:c>
      <x:c r="D46" s="47" t="n">
        <x:f>IF($B$3="Bull",D$19,IF($B$3="Bear",D$17,D$18))</x:f>
        <x:v>0.255</x:v>
      </x:c>
      <x:c r="E46" s="47" t="n">
        <x:f>IF($B$3="Bull",E$19,IF($B$3="Bear",E$17,E$18))</x:f>
        <x:v>0.275</x:v>
      </x:c>
      <x:c r="F46" s="47" t="n">
        <x:f>IF($B$3="Bull",F$19,IF($B$3="Bear",F$17,F$18))</x:f>
        <x:v>0.28</x:v>
      </x:c>
      <x:c r="G46" s="47" t="n">
        <x:f>IF($B$3="Bull",G$19,IF($B$3="Bear",G$17,G$18))</x:f>
        <x:v>0.285</x:v>
      </x:c>
      <x:c r="H46" s="47" t="n">
        <x:f>IF($B$3="Bull",H$19,IF($B$3="Bear",H$17,H$18))</x:f>
        <x:v>0.29</x:v>
      </x:c>
      <x:c r="I46" s="47" t="n">
        <x:f>IF($B$3="Bull",I$19,IF($B$3="Bear",I$17,I$18))</x:f>
        <x:v>0.29</x:v>
      </x:c>
    </x:row>
    <x:row r="48">
      <x:c r="A48" t="str">
        <x:v>Selected WACC</x:v>
      </x:c>
      <x:c r="B48" s="47" t="n">
        <x:f>IF($B$3="Bull",$B$35,IF($B$3="Bear",$B$36,$B$34))</x:f>
        <x:v>0.085</x:v>
      </x:c>
    </x:row>
    <x:row r="49">
      <x:c r="A49" t="str">
        <x:v>Selected terminal growth</x:v>
      </x:c>
      <x:c r="B49" s="47" t="n">
        <x:f>IF($B$3="Bull",$B$38,IF($B$3="Bear",$B$39,$B$37))</x:f>
        <x:v>0.03</x:v>
      </x:c>
    </x:row>
  </x:sheetData>
  <x:mergeCells>
    <x:mergeCell ref="A1:I1"/>
    <x:mergeCell ref="A2:I2"/>
    <x:mergeCell ref="A5:I5"/>
    <x:mergeCell ref="A13:I13"/>
    <x:mergeCell ref="A21:I21"/>
    <x:mergeCell ref="A31:I31"/>
    <x:mergeCell ref="A42:I42"/>
  </x:mergeCells>
  <x:dataValidations count="1">
    <x:dataValidation type="list" sqref="B3">
      <x:formula1>"Bear,Base,Bull"</x:formula1>
    </x:dataValidation>
  </x:dataValidations>
  <x:pageMargins left="0.7" right="0.7" top="0.75" bottom="0.75" header="0.3" footer="0.3"/>
  <x:legacyDrawing xmlns:r="http://schemas.openxmlformats.org/officeDocument/2006/relationships" r:id="R2f28b2c8f7564a4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Operating Model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Segment-driven forecast. Historical data links to the Historical sheet; forecast assumptions link to Assumptions.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26" t="str">
        <x:v>USD millions except per-share</x:v>
      </x:c>
      <x:c r="B3" s="25" t="n">
        <x:v>45291</x:v>
      </x:c>
      <x:c r="C3" s="25" t="n">
        <x:v>45657</x:v>
      </x:c>
      <x:c r="D3" s="25" t="n">
        <x:v>46022</x:v>
      </x:c>
      <x:c r="E3" s="41" t="n">
        <x:v>46387</x:v>
      </x:c>
      <x:c r="F3" s="41" t="n">
        <x:v>46752</x:v>
      </x:c>
      <x:c r="G3" s="41" t="n">
        <x:v>47118</x:v>
      </x:c>
      <x:c r="H3" s="41" t="n">
        <x:v>47483</x:v>
      </x:c>
      <x:c r="I3" s="41" t="n">
        <x:v>47848</x:v>
      </x:c>
      <x:c r="J3" s="41" t="n">
        <x:v>48213</x:v>
      </x:c>
    </x:row>
    <x:row r="5" ht="20" customHeight="1">
      <x:c r="A5" s="20" t="str">
        <x:v>Revenue</x:v>
      </x:c>
      <x:c r="B5" s="20"/>
      <x:c r="C5" s="20"/>
      <x:c r="D5" s="20"/>
      <x:c r="E5" s="20"/>
      <x:c r="F5" s="20"/>
      <x:c r="G5" s="20"/>
      <x:c r="H5" s="20"/>
      <x:c r="I5" s="20"/>
      <x:c r="J5" s="20"/>
    </x:row>
    <x:row r="6">
      <x:c r="A6" t="str">
        <x:v>Systems Protection revenue</x:v>
      </x:c>
      <x:c r="B6" s="51" t="n">
        <x:f>'Historical'!B6</x:f>
        <x:v>1605.9</x:v>
      </x:c>
      <x:c r="C6" s="51" t="n">
        <x:f>'Historical'!C6</x:f>
        <x:v>1823.3</x:v>
      </x:c>
      <x:c r="D6" s="51" t="n">
        <x:f>'Historical'!D6</x:f>
        <x:v>2592.9</x:v>
      </x:c>
      <x:c r="E6" s="52" t="n">
        <x:f>D6*(1+'Assumptions'!D$43)</x:f>
        <x:v>3596.3523</x:v>
      </x:c>
      <x:c r="F6" s="52" t="n">
        <x:f>E6*(1+'Assumptions'!E$43)</x:f>
        <x:v>4261.677475500001</x:v>
      </x:c>
      <x:c r="G6" s="52" t="n">
        <x:f>F6*(1+'Assumptions'!F$43)</x:f>
        <x:v>4943.5458715800005</x:v>
      </x:c>
      <x:c r="H6" s="52" t="n">
        <x:f>G6*(1+'Assumptions'!G$43)</x:f>
        <x:v>5586.2068348854</x:v>
      </x:c>
      <x:c r="I6" s="52" t="n">
        <x:f>H6*(1+'Assumptions'!H$43)</x:f>
        <x:v>6144.827518373941</x:v>
      </x:c>
      <x:c r="J6" s="52" t="n">
        <x:f>I6*(1+'Assumptions'!I$43)</x:f>
        <x:v>6636.413719843857</x:v>
      </x:c>
    </x:row>
    <x:row r="7">
      <x:c r="A7" t="str">
        <x:v>% growth</x:v>
      </x:c>
      <x:c r="B7" s="53"/>
      <x:c r="C7" s="53" t="n">
        <x:f>C6/B6-1</x:f>
        <x:v>0.1353758017311164</x:v>
      </x:c>
      <x:c r="D7" s="53" t="n">
        <x:f>D6/C6-1</x:f>
        <x:v>0.4220918115504855</x:v>
      </x:c>
      <x:c r="E7" s="47" t="n">
        <x:f>E6/D6-1</x:f>
        <x:v>0.387</x:v>
      </x:c>
      <x:c r="F7" s="47" t="n">
        <x:f>F6/E6-1</x:f>
        <x:v>0.18500000000000005</x:v>
      </x:c>
      <x:c r="G7" s="47" t="n">
        <x:f>G6/F6-1</x:f>
        <x:v>0.15999999999999992</x:v>
      </x:c>
      <x:c r="H7" s="47" t="n">
        <x:f>H6/G6-1</x:f>
        <x:v>0.1299999999999999</x:v>
      </x:c>
      <x:c r="I7" s="47" t="n">
        <x:f>I6/H6-1</x:f>
        <x:v>0.10000000000000009</x:v>
      </x:c>
      <x:c r="J7" s="47" t="n">
        <x:f>J6/I6-1</x:f>
        <x:v>0.08000000000000007</x:v>
      </x:c>
    </x:row>
    <x:row r="8">
      <x:c r="A8" t="str">
        <x:v>Electrical Connections revenue</x:v>
      </x:c>
      <x:c r="B8" s="51" t="n">
        <x:f>'Historical'!B7</x:f>
        <x:v>1063</x:v>
      </x:c>
      <x:c r="C8" s="51" t="n">
        <x:f>'Historical'!C7</x:f>
        <x:v>1182.8</x:v>
      </x:c>
      <x:c r="D8" s="51" t="n">
        <x:f>'Historical'!D7</x:f>
        <x:v>1300.2</x:v>
      </x:c>
      <x:c r="E8" s="52" t="n">
        <x:f>D8*(1+'Assumptions'!D$44)</x:f>
        <x:v>1404.2160000000001</x:v>
      </x:c>
      <x:c r="F8" s="52" t="n">
        <x:f>E8*(1+'Assumptions'!E$44)</x:f>
        <x:v>1495.4900400000001</x:v>
      </x:c>
      <x:c r="G8" s="52" t="n">
        <x:f>F8*(1+'Assumptions'!F$44)</x:f>
        <x:v>1585.2194424000002</x:v>
      </x:c>
      <x:c r="H8" s="52" t="n">
        <x:f>G8*(1+'Assumptions'!G$44)</x:f>
        <x:v>1664.4804145200003</x:v>
      </x:c>
      <x:c r="I8" s="52" t="n">
        <x:f>H8*(1+'Assumptions'!H$44)</x:f>
        <x:v>1731.0596311008003</x:v>
      </x:c>
      <x:c r="J8" s="52" t="n">
        <x:f>I8*(1+'Assumptions'!I$44)</x:f>
        <x:v>1782.9914200338244</x:v>
      </x:c>
    </x:row>
    <x:row r="9">
      <x:c r="A9" t="str">
        <x:v>% growth</x:v>
      </x:c>
      <x:c r="B9" s="53"/>
      <x:c r="C9" s="53" t="n">
        <x:f>C8/B8-1</x:f>
        <x:v>0.11269990592662271</x:v>
      </x:c>
      <x:c r="D9" s="53" t="n">
        <x:f>D8/C8-1</x:f>
        <x:v>0.09925600270544477</x:v>
      </x:c>
      <x:c r="E9" s="47" t="n">
        <x:f>E8/D8-1</x:f>
        <x:v>0.08000000000000007</x:v>
      </x:c>
      <x:c r="F9" s="47" t="n">
        <x:f>F8/E8-1</x:f>
        <x:v>0.06499999999999995</x:v>
      </x:c>
      <x:c r="G9" s="47" t="n">
        <x:f>G8/F8-1</x:f>
        <x:v>0.06000000000000005</x:v>
      </x:c>
      <x:c r="H9" s="47" t="n">
        <x:f>H8/G8-1</x:f>
        <x:v>0.050000000000000044</x:v>
      </x:c>
      <x:c r="I9" s="47" t="n">
        <x:f>I8/H8-1</x:f>
        <x:v>0.040000000000000036</x:v>
      </x:c>
      <x:c r="J9" s="47" t="n">
        <x:f>J8/I8-1</x:f>
        <x:v>0.030000000000000027</x:v>
      </x:c>
    </x:row>
    <x:row r="10">
      <x:c r="A10" s="32" t="str">
        <x:v>Total revenue</x:v>
      </x:c>
      <x:c r="B10" s="56" t="n">
        <x:f>'Historical'!B8</x:f>
        <x:v>2668.9</x:v>
      </x:c>
      <x:c r="C10" s="56" t="n">
        <x:f>'Historical'!C8</x:f>
        <x:v>3006.1</x:v>
      </x:c>
      <x:c r="D10" s="56" t="n">
        <x:f>'Historical'!D8</x:f>
        <x:v>3893.1</x:v>
      </x:c>
      <x:c r="E10" s="57" t="n">
        <x:f>SUM(E6,E8)</x:f>
        <x:v>5000.5683</x:v>
      </x:c>
      <x:c r="F10" s="57" t="n">
        <x:f>SUM(F6,F8)</x:f>
        <x:v>5757.167515500001</x:v>
      </x:c>
      <x:c r="G10" s="57" t="n">
        <x:f>SUM(G6,G8)</x:f>
        <x:v>6528.76531398</x:v>
      </x:c>
      <x:c r="H10" s="57" t="n">
        <x:f>SUM(H6,H8)</x:f>
        <x:v>7250.6872494054005</x:v>
      </x:c>
      <x:c r="I10" s="57" t="n">
        <x:f>SUM(I6,I8)</x:f>
        <x:v>7875.887149474741</x:v>
      </x:c>
      <x:c r="J10" s="57" t="n">
        <x:f>SUM(J6,J8)</x:f>
        <x:v>8419.405139877681</x:v>
      </x:c>
    </x:row>
    <x:row r="12" ht="20" customHeight="1">
      <x:c r="A12" s="20" t="str">
        <x:v>Adjusted income statement</x:v>
      </x:c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t="str">
        <x:v>Systems Protection margin</x:v>
      </x:c>
      <x:c r="B13" s="53" t="n">
        <x:f>'Historical'!B11</x:f>
        <x:v>0.2158</x:v>
      </x:c>
      <x:c r="C13" s="53" t="n">
        <x:f>'Historical'!C11</x:f>
        <x:v>0.2211</x:v>
      </x:c>
      <x:c r="D13" s="53" t="n">
        <x:f>'Historical'!D11</x:f>
        <x:v>0.2071</x:v>
      </x:c>
      <x:c r="E13" s="47" t="n">
        <x:f>'Assumptions'!D$45</x:f>
        <x:v>0.222</x:v>
      </x:c>
      <x:c r="F13" s="47" t="n">
        <x:f>'Assumptions'!E$45</x:f>
        <x:v>0.233</x:v>
      </x:c>
      <x:c r="G13" s="47" t="n">
        <x:f>'Assumptions'!F$45</x:f>
        <x:v>0.238</x:v>
      </x:c>
      <x:c r="H13" s="47" t="n">
        <x:f>'Assumptions'!G$45</x:f>
        <x:v>0.24</x:v>
      </x:c>
      <x:c r="I13" s="47" t="n">
        <x:f>'Assumptions'!H$45</x:f>
        <x:v>0.24</x:v>
      </x:c>
      <x:c r="J13" s="47" t="n">
        <x:f>'Assumptions'!I$45</x:f>
        <x:v>0.24</x:v>
      </x:c>
    </x:row>
    <x:row r="14">
      <x:c r="A14" t="str">
        <x:v>Systems Protection segment income</x:v>
      </x:c>
      <x:c r="B14" s="51" t="n">
        <x:f>'Historical'!B10</x:f>
        <x:v>346.6</x:v>
      </x:c>
      <x:c r="C14" s="51" t="n">
        <x:f>'Historical'!C10</x:f>
        <x:v>403.1</x:v>
      </x:c>
      <x:c r="D14" s="51" t="n">
        <x:f>'Historical'!D10</x:f>
        <x:v>537</x:v>
      </x:c>
      <x:c r="E14" s="52" t="n">
        <x:f>E6*E13</x:f>
        <x:v>798.3902106</x:v>
      </x:c>
      <x:c r="F14" s="52" t="n">
        <x:f>F6*F13</x:f>
        <x:v>992.9708517915002</x:v>
      </x:c>
      <x:c r="G14" s="52" t="n">
        <x:f>G6*G13</x:f>
        <x:v>1176.5639174360401</x:v>
      </x:c>
      <x:c r="H14" s="52" t="n">
        <x:f>H6*H13</x:f>
        <x:v>1340.689640372496</x:v>
      </x:c>
      <x:c r="I14" s="52" t="n">
        <x:f>I6*I13</x:f>
        <x:v>1474.7586044097457</x:v>
      </x:c>
      <x:c r="J14" s="52" t="n">
        <x:f>J6*J13</x:f>
        <x:v>1592.7392927625256</x:v>
      </x:c>
    </x:row>
    <x:row r="15">
      <x:c r="A15" t="str">
        <x:v>Electrical Connections margin</x:v>
      </x:c>
      <x:c r="B15" s="53" t="n">
        <x:f>'Historical'!B13</x:f>
        <x:v>0.311</x:v>
      </x:c>
      <x:c r="C15" s="53" t="n">
        <x:f>'Historical'!C13</x:f>
        <x:v>0.2997</x:v>
      </x:c>
      <x:c r="D15" s="53" t="n">
        <x:f>'Historical'!D13</x:f>
        <x:v>0.2866</x:v>
      </x:c>
      <x:c r="E15" s="47" t="n">
        <x:f>'Assumptions'!D$46</x:f>
        <x:v>0.255</x:v>
      </x:c>
      <x:c r="F15" s="47" t="n">
        <x:f>'Assumptions'!E$46</x:f>
        <x:v>0.275</x:v>
      </x:c>
      <x:c r="G15" s="47" t="n">
        <x:f>'Assumptions'!F$46</x:f>
        <x:v>0.28</x:v>
      </x:c>
      <x:c r="H15" s="47" t="n">
        <x:f>'Assumptions'!G$46</x:f>
        <x:v>0.285</x:v>
      </x:c>
      <x:c r="I15" s="47" t="n">
        <x:f>'Assumptions'!H$46</x:f>
        <x:v>0.29</x:v>
      </x:c>
      <x:c r="J15" s="47" t="n">
        <x:f>'Assumptions'!I$46</x:f>
        <x:v>0.29</x:v>
      </x:c>
    </x:row>
    <x:row r="16">
      <x:c r="A16" t="str">
        <x:v>Electrical Connections segment income</x:v>
      </x:c>
      <x:c r="B16" s="51" t="n">
        <x:f>'Historical'!B12</x:f>
        <x:v>330.6</x:v>
      </x:c>
      <x:c r="C16" s="51" t="n">
        <x:f>'Historical'!C12</x:f>
        <x:v>354.5</x:v>
      </x:c>
      <x:c r="D16" s="51" t="n">
        <x:f>'Historical'!D12</x:f>
        <x:v>372.6</x:v>
      </x:c>
      <x:c r="E16" s="52" t="n">
        <x:f>E8*E15</x:f>
        <x:v>358.07508</x:v>
      </x:c>
      <x:c r="F16" s="52" t="n">
        <x:f>F8*F15</x:f>
        <x:v>411.2597610000001</x:v>
      </x:c>
      <x:c r="G16" s="52" t="n">
        <x:f>G8*G15</x:f>
        <x:v>443.8614438720001</x:v>
      </x:c>
      <x:c r="H16" s="52" t="n">
        <x:f>H8*H15</x:f>
        <x:v>474.37691813820004</x:v>
      </x:c>
      <x:c r="I16" s="52" t="n">
        <x:f>I8*I15</x:f>
        <x:v>502.00729301923207</x:v>
      </x:c>
      <x:c r="J16" s="52" t="n">
        <x:f>J8*J15</x:f>
        <x:v>517.067511809809</x:v>
      </x:c>
    </x:row>
    <x:row r="17">
      <x:c r="A17" t="str">
        <x:v>Enterprise &amp; other</x:v>
      </x:c>
      <x:c r="B17" s="51" t="n">
        <x:f>'Historical'!B14</x:f>
        <x:v>-110.6</x:v>
      </x:c>
      <x:c r="C17" s="51" t="n">
        <x:f>'Historical'!C14</x:f>
        <x:v>-105.6</x:v>
      </x:c>
      <x:c r="D17" s="51" t="n">
        <x:f>'Historical'!D14</x:f>
        <x:v>-123.8</x:v>
      </x:c>
      <x:c r="E17" s="52" t="n">
        <x:f>-'Assumptions'!D$22</x:f>
        <x:v>-135</x:v>
      </x:c>
      <x:c r="F17" s="52" t="n">
        <x:f>-'Assumptions'!E$22</x:f>
        <x:v>-139</x:v>
      </x:c>
      <x:c r="G17" s="52" t="n">
        <x:f>-'Assumptions'!F$22</x:f>
        <x:v>-143</x:v>
      </x:c>
      <x:c r="H17" s="52" t="n">
        <x:f>-'Assumptions'!G$22</x:f>
        <x:v>-147</x:v>
      </x:c>
      <x:c r="I17" s="52" t="n">
        <x:f>-'Assumptions'!H$22</x:f>
        <x:v>-151</x:v>
      </x:c>
      <x:c r="J17" s="52" t="n">
        <x:f>-'Assumptions'!I$22</x:f>
        <x:v>-156</x:v>
      </x:c>
    </x:row>
    <x:row r="18">
      <x:c r="A18" s="32" t="str">
        <x:v>Adjusted operating income</x:v>
      </x:c>
      <x:c r="B18" s="56" t="n">
        <x:f>'Historical'!B15</x:f>
        <x:v>566.6</x:v>
      </x:c>
      <x:c r="C18" s="56" t="n">
        <x:f>'Historical'!C15</x:f>
        <x:v>652</x:v>
      </x:c>
      <x:c r="D18" s="56" t="n">
        <x:f>'Historical'!D15</x:f>
        <x:v>785.8</x:v>
      </x:c>
      <x:c r="E18" s="57" t="n">
        <x:f>SUM(E14,E16,E17)</x:f>
        <x:v>1021.4652906000001</x:v>
      </x:c>
      <x:c r="F18" s="57" t="n">
        <x:f>SUM(F14,F16,F17)</x:f>
        <x:v>1265.2306127915003</x:v>
      </x:c>
      <x:c r="G18" s="57" t="n">
        <x:f>SUM(G14,G16,G17)</x:f>
        <x:v>1477.4253613080402</x:v>
      </x:c>
      <x:c r="H18" s="57" t="n">
        <x:f>SUM(H14,H16,H17)</x:f>
        <x:v>1668.0665585106958</x:v>
      </x:c>
      <x:c r="I18" s="57" t="n">
        <x:f>SUM(I14,I16,I17)</x:f>
        <x:v>1825.7658974289777</x:v>
      </x:c>
      <x:c r="J18" s="57" t="n">
        <x:f>SUM(J14,J16,J17)</x:f>
        <x:v>1953.8068045723348</x:v>
      </x:c>
    </x:row>
    <x:row r="19">
      <x:c r="A19" t="str">
        <x:v>Adjusted operating margin</x:v>
      </x:c>
      <x:c r="B19" s="53" t="n">
        <x:f>'Historical'!B16</x:f>
        <x:v>0.2123</x:v>
      </x:c>
      <x:c r="C19" s="53" t="n">
        <x:f>'Historical'!C16</x:f>
        <x:v>0.2169</x:v>
      </x:c>
      <x:c r="D19" s="53" t="n">
        <x:f>'Historical'!D16</x:f>
        <x:v>0.2018</x:v>
      </x:c>
      <x:c r="E19" s="47" t="n">
        <x:f>E18/E10</x:f>
        <x:v>0.20426984080989358</x:v>
      </x:c>
      <x:c r="F19" s="47" t="n">
        <x:f>F18/F10</x:f>
        <x:v>0.2197661626807149</x:v>
      </x:c>
      <x:c r="G19" s="47" t="n">
        <x:f>G18/G10</x:f>
        <x:v>0.22629475716402908</x:v>
      </x:c>
      <x:c r="H19" s="47" t="n">
        <x:f>H18/H10</x:f>
        <x:v>0.2300563382660709</x:v>
      </x:c>
      <x:c r="I19" s="47" t="n">
        <x:f>I18/I10</x:f>
        <x:v>0.23181717345337302</x:v>
      </x:c>
      <x:c r="J19" s="47" t="n">
        <x:f>J18/J10</x:f>
        <x:v>0.23205995816952932</x:v>
      </x:c>
    </x:row>
    <x:row r="20">
      <x:c r="A20" t="str">
        <x:v>Net interest expense</x:v>
      </x:c>
      <x:c r="B20" s="51"/>
      <x:c r="C20" s="51"/>
      <x:c r="D20" s="51"/>
      <x:c r="E20" s="52" t="n">
        <x:f>'Assumptions'!D$23</x:f>
        <x:v>65</x:v>
      </x:c>
      <x:c r="F20" s="52" t="n">
        <x:f>'Assumptions'!E$23</x:f>
        <x:v>60</x:v>
      </x:c>
      <x:c r="G20" s="52" t="n">
        <x:f>'Assumptions'!F$23</x:f>
        <x:v>55</x:v>
      </x:c>
      <x:c r="H20" s="52" t="n">
        <x:f>'Assumptions'!G$23</x:f>
        <x:v>50</x:v>
      </x:c>
      <x:c r="I20" s="52" t="n">
        <x:f>'Assumptions'!H$23</x:f>
        <x:v>45</x:v>
      </x:c>
      <x:c r="J20" s="52" t="n">
        <x:f>'Assumptions'!I$23</x:f>
        <x:v>40</x:v>
      </x:c>
    </x:row>
    <x:row r="21">
      <x:c r="A21" t="str">
        <x:v>Adjusted net income</x:v>
      </x:c>
      <x:c r="B21" s="51"/>
      <x:c r="C21" s="51"/>
      <x:c r="D21" s="51"/>
      <x:c r="E21" s="52" t="n">
        <x:f>(E18-E20)*(1-'Assumptions'!D$24)</x:f>
        <x:v>746.0429266680001</x:v>
      </x:c>
      <x:c r="F21" s="52" t="n">
        <x:f>(F18-F20)*(1-'Assumptions'!E$24)</x:f>
        <x:v>940.0798779773703</x:v>
      </x:c>
      <x:c r="G21" s="52" t="n">
        <x:f>(G18-G20)*(1-'Assumptions'!F$24)</x:f>
        <x:v>1109.4917818202714</x:v>
      </x:c>
      <x:c r="H21" s="52" t="n">
        <x:f>(H18-H20)*(1-'Assumptions'!G$24)</x:f>
        <x:v>1262.0919156383427</x:v>
      </x:c>
      <x:c r="I21" s="52" t="n">
        <x:f>(I18-I20)*(1-'Assumptions'!H$24)</x:f>
        <x:v>1388.9973999946026</x:v>
      </x:c>
      <x:c r="J21" s="52" t="n">
        <x:f>(J18-J20)*(1-'Assumptions'!I$24)</x:f>
        <x:v>1492.7693075664213</x:v>
      </x:c>
    </x:row>
    <x:row r="22">
      <x:c r="A22" t="str">
        <x:v>Diluted shares</x:v>
      </x:c>
      <x:c r="B22" s="51"/>
      <x:c r="C22" s="51"/>
      <x:c r="D22" s="51"/>
      <x:c r="E22" s="52" t="n">
        <x:f>'Assumptions'!D$25</x:f>
        <x:v>164</x:v>
      </x:c>
      <x:c r="F22" s="52" t="n">
        <x:f>'Assumptions'!E$25</x:f>
        <x:v>162.5</x:v>
      </x:c>
      <x:c r="G22" s="52" t="n">
        <x:f>'Assumptions'!F$25</x:f>
        <x:v>161</x:v>
      </x:c>
      <x:c r="H22" s="52" t="n">
        <x:f>'Assumptions'!G$25</x:f>
        <x:v>160</x:v>
      </x:c>
      <x:c r="I22" s="52" t="n">
        <x:f>'Assumptions'!H$25</x:f>
        <x:v>159</x:v>
      </x:c>
      <x:c r="J22" s="52" t="n">
        <x:f>'Assumptions'!I$25</x:f>
        <x:v>158</x:v>
      </x:c>
    </x:row>
    <x:row r="23">
      <x:c r="A23" s="32" t="str">
        <x:v>Adjusted EPS</x:v>
      </x:c>
      <x:c r="B23" s="62" t="n">
        <x:f>'Historical'!B17</x:f>
        <x:v>2.32</x:v>
      </x:c>
      <x:c r="C23" s="62" t="n">
        <x:f>'Historical'!C17</x:f>
        <x:v>2.49</x:v>
      </x:c>
      <x:c r="D23" s="62" t="n">
        <x:f>'Historical'!D17</x:f>
        <x:v>3.35</x:v>
      </x:c>
      <x:c r="E23" s="63" t="n">
        <x:f>E21/E22</x:f>
        <x:v>4.5490422357804885</x:v>
      </x:c>
      <x:c r="F23" s="63" t="n">
        <x:f>F21/F22</x:f>
        <x:v>5.785106941399202</x:v>
      </x:c>
      <x:c r="G23" s="63" t="n">
        <x:f>G21/G22</x:f>
        <x:v>6.891253303231499</x:v>
      </x:c>
      <x:c r="H23" s="63" t="n">
        <x:f>H21/H22</x:f>
        <x:v>7.888074472739642</x:v>
      </x:c>
      <x:c r="I23" s="63" t="n">
        <x:f>I21/I22</x:f>
        <x:v>8.735832704368569</x:v>
      </x:c>
      <x:c r="J23" s="63" t="n">
        <x:f>J21/J22</x:f>
        <x:v>9.447907009914058</x:v>
      </x:c>
    </x:row>
    <x:row r="25" ht="20" customHeight="1">
      <x:c r="A25" s="20" t="str">
        <x:v>Unlevered free cash flow</x:v>
      </x:c>
      <x:c r="B25" s="20"/>
      <x:c r="C25" s="20"/>
      <x:c r="D25" s="20"/>
      <x:c r="E25" s="20"/>
      <x:c r="F25" s="20"/>
      <x:c r="G25" s="20"/>
      <x:c r="H25" s="20"/>
      <x:c r="I25" s="20"/>
      <x:c r="J25" s="20"/>
    </x:row>
    <x:row r="26">
      <x:c r="A26" t="str">
        <x:v>PPA intangible amortization</x:v>
      </x:c>
      <x:c r="B26"/>
      <x:c r="C26"/>
      <x:c r="D26"/>
      <x:c r="E26" s="52" t="n">
        <x:f>'Assumptions'!D$26</x:f>
        <x:v>153.8</x:v>
      </x:c>
      <x:c r="F26" s="52" t="n">
        <x:f>'Assumptions'!E$26</x:f>
        <x:v>136.3</x:v>
      </x:c>
      <x:c r="G26" s="52" t="n">
        <x:f>'Assumptions'!F$26</x:f>
        <x:v>111</x:v>
      </x:c>
      <x:c r="H26" s="52" t="n">
        <x:f>'Assumptions'!G$26</x:f>
        <x:v>111</x:v>
      </x:c>
      <x:c r="I26" s="52" t="n">
        <x:f>'Assumptions'!H$26</x:f>
        <x:v>107.8</x:v>
      </x:c>
      <x:c r="J26" s="52" t="n">
        <x:f>'Assumptions'!I$26</x:f>
        <x:v>105.6</x:v>
      </x:c>
    </x:row>
    <x:row r="27">
      <x:c r="A27" t="str">
        <x:v>GAAP EBIT before one-offs</x:v>
      </x:c>
      <x:c r="B27"/>
      <x:c r="C27"/>
      <x:c r="D27"/>
      <x:c r="E27" s="52" t="n">
        <x:f>E18-E26</x:f>
        <x:v>867.6652906000002</x:v>
      </x:c>
      <x:c r="F27" s="52" t="n">
        <x:f>F18-F26</x:f>
        <x:v>1128.9306127915004</x:v>
      </x:c>
      <x:c r="G27" s="52" t="n">
        <x:f>G18-G26</x:f>
        <x:v>1366.4253613080402</x:v>
      </x:c>
      <x:c r="H27" s="52" t="n">
        <x:f>H18-H26</x:f>
        <x:v>1557.0665585106958</x:v>
      </x:c>
      <x:c r="I27" s="52" t="n">
        <x:f>I18-I26</x:f>
        <x:v>1717.9658974289778</x:v>
      </x:c>
      <x:c r="J27" s="52" t="n">
        <x:f>J18-J26</x:f>
        <x:v>1848.206804572335</x:v>
      </x:c>
    </x:row>
    <x:row r="28">
      <x:c r="A28" t="str">
        <x:v>NOPAT</x:v>
      </x:c>
      <x:c r="B28"/>
      <x:c r="C28"/>
      <x:c r="D28"/>
      <x:c r="E28" s="52" t="n">
        <x:f>E27*(1-'Assumptions'!D$24)</x:f>
        <x:v>676.7789266680002</x:v>
      </x:c>
      <x:c r="F28" s="52" t="n">
        <x:f>F27*(1-'Assumptions'!E$24)</x:f>
        <x:v>880.5658779773703</x:v>
      </x:c>
      <x:c r="G28" s="52" t="n">
        <x:f>G27*(1-'Assumptions'!F$24)</x:f>
        <x:v>1065.8117818202713</x:v>
      </x:c>
      <x:c r="H28" s="52" t="n">
        <x:f>H27*(1-'Assumptions'!G$24)</x:f>
        <x:v>1214.5119156383428</x:v>
      </x:c>
      <x:c r="I28" s="52" t="n">
        <x:f>I27*(1-'Assumptions'!H$24)</x:f>
        <x:v>1340.0133999946027</x:v>
      </x:c>
      <x:c r="J28" s="52" t="n">
        <x:f>J27*(1-'Assumptions'!I$24)</x:f>
        <x:v>1441.6013075664214</x:v>
      </x:c>
    </x:row>
    <x:row r="29">
      <x:c r="A29" t="str">
        <x:v>Depreciation</x:v>
      </x:c>
      <x:c r="B29"/>
      <x:c r="C29"/>
      <x:c r="D29"/>
      <x:c r="E29" s="52" t="n">
        <x:f>E10*'Assumptions'!D$27</x:f>
        <x:v>75.0085245</x:v>
      </x:c>
      <x:c r="F29" s="52" t="n">
        <x:f>F10*'Assumptions'!E$27</x:f>
        <x:v>86.35751273250001</x:v>
      </x:c>
      <x:c r="G29" s="52" t="n">
        <x:f>G10*'Assumptions'!F$27</x:f>
        <x:v>97.9314797097</x:v>
      </x:c>
      <x:c r="H29" s="52" t="n">
        <x:f>H10*'Assumptions'!G$27</x:f>
        <x:v>108.760308741081</x:v>
      </x:c>
      <x:c r="I29" s="52" t="n">
        <x:f>I10*'Assumptions'!H$27</x:f>
        <x:v>118.13830724212112</x:v>
      </x:c>
      <x:c r="J29" s="52" t="n">
        <x:f>J10*'Assumptions'!I$27</x:f>
        <x:v>126.2910770981652</x:v>
      </x:c>
    </x:row>
    <x:row r="30">
      <x:c r="A30" t="str">
        <x:v>Total D&amp;A addback</x:v>
      </x:c>
      <x:c r="B30"/>
      <x:c r="C30"/>
      <x:c r="D30"/>
      <x:c r="E30" s="52" t="n">
        <x:f>SUM(E26,E29)</x:f>
        <x:v>228.8085245</x:v>
      </x:c>
      <x:c r="F30" s="52" t="n">
        <x:f>SUM(F26,F29)</x:f>
        <x:v>222.65751273250004</x:v>
      </x:c>
      <x:c r="G30" s="52" t="n">
        <x:f>SUM(G26,G29)</x:f>
        <x:v>208.9314797097</x:v>
      </x:c>
      <x:c r="H30" s="52" t="n">
        <x:f>SUM(H26,H29)</x:f>
        <x:v>219.76030874108102</x:v>
      </x:c>
      <x:c r="I30" s="52" t="n">
        <x:f>SUM(I26,I29)</x:f>
        <x:v>225.9383072421211</x:v>
      </x:c>
      <x:c r="J30" s="52" t="n">
        <x:f>SUM(J26,J29)</x:f>
        <x:v>231.8910770981652</x:v>
      </x:c>
    </x:row>
    <x:row r="31">
      <x:c r="A31" t="str">
        <x:v>Capital expenditures</x:v>
      </x:c>
      <x:c r="B31"/>
      <x:c r="C31"/>
      <x:c r="D31"/>
      <x:c r="E31" s="52" t="n">
        <x:f>-E10*'Assumptions'!D$28</x:f>
        <x:v>-130.0147758</x:v>
      </x:c>
      <x:c r="F31" s="52" t="n">
        <x:f>-F10*'Assumptions'!E$28</x:f>
        <x:v>-149.68635540300002</x:v>
      </x:c>
      <x:c r="G31" s="52" t="n">
        <x:f>-G10*'Assumptions'!F$28</x:f>
        <x:v>-163.21913284950003</x:v>
      </x:c>
      <x:c r="H31" s="52" t="n">
        <x:f>-H10*'Assumptions'!G$28</x:f>
        <x:v>-174.01649398572962</x:v>
      </x:c>
      <x:c r="I31" s="52" t="n">
        <x:f>-I10*'Assumptions'!H$28</x:f>
        <x:v>-181.14540443791904</x:v>
      </x:c>
      <x:c r="J31" s="52" t="n">
        <x:f>-J10*'Assumptions'!I$28</x:f>
        <x:v>-193.64631821718666</x:v>
      </x:c>
    </x:row>
    <x:row r="32">
      <x:c r="A32" t="str">
        <x:v>Change in NWC</x:v>
      </x:c>
      <x:c r="B32"/>
      <x:c r="C32"/>
      <x:c r="D32"/>
      <x:c r="E32" s="52" t="n">
        <x:f>-MAX(0,E10-D10)*'Assumptions'!D$29</x:f>
        <x:v>-44.298732</x:v>
      </x:c>
      <x:c r="F32" s="52" t="n">
        <x:f>-MAX(0,F10-E10)*'Assumptions'!E$29</x:f>
        <x:v>-30.26396862000005</x:v>
      </x:c>
      <x:c r="G32" s="52" t="n">
        <x:f>-MAX(0,G10-F10)*'Assumptions'!F$29</x:f>
        <x:v>-30.86391193919997</x:v>
      </x:c>
      <x:c r="H32" s="52" t="n">
        <x:f>-MAX(0,H10-G10)*'Assumptions'!G$29</x:f>
        <x:v>-28.876877417016004</x:v>
      </x:c>
      <x:c r="I32" s="52" t="n">
        <x:f>-MAX(0,I10-H10)*'Assumptions'!H$29</x:f>
        <x:v>-25.007996002773616</x:v>
      </x:c>
      <x:c r="J32" s="52" t="n">
        <x:f>-MAX(0,J10-I10)*'Assumptions'!I$29</x:f>
        <x:v>-21.740719616117605</x:v>
      </x:c>
    </x:row>
    <x:row r="33">
      <x:c r="A33" s="32" t="str">
        <x:v>Unlevered free cash flow</x:v>
      </x:c>
      <x:c r="B33" s="32"/>
      <x:c r="C33" s="32"/>
      <x:c r="D33" s="32"/>
      <x:c r="E33" s="57" t="n">
        <x:f>SUM(E28,E30:E32)</x:f>
        <x:v>731.2739433680001</x:v>
      </x:c>
      <x:c r="F33" s="57" t="n">
        <x:f>SUM(F28,F30:F32)</x:f>
        <x:v>923.2730666868703</x:v>
      </x:c>
      <x:c r="G33" s="57" t="n">
        <x:f>SUM(G28,G30:G32)</x:f>
        <x:v>1080.6602167412714</x:v>
      </x:c>
      <x:c r="H33" s="57" t="n">
        <x:f>SUM(H28,H30:H32)</x:f>
        <x:v>1231.3788529766782</x:v>
      </x:c>
      <x:c r="I33" s="57" t="n">
        <x:f>SUM(I28,I30:I32)</x:f>
        <x:v>1359.798306796031</x:v>
      </x:c>
      <x:c r="J33" s="57" t="n">
        <x:f>SUM(J28,J30:J32)</x:f>
        <x:v>1458.1053468312823</x:v>
      </x:c>
    </x:row>
    <x:row r="34">
      <x:c r="A34" t="str">
        <x:v>UFCF margin</x:v>
      </x:c>
      <x:c r="B34"/>
      <x:c r="C34"/>
      <x:c r="D34"/>
      <x:c r="E34" s="47" t="n">
        <x:f>E33/E10</x:f>
        <x:v>0.14623816724351113</x:v>
      </x:c>
      <x:c r="F34" s="47" t="n">
        <x:f>F33/F10</x:f>
        <x:v>0.1603693247071838</x:v>
      </x:c>
      <x:c r="G34" s="47" t="n">
        <x:f>G33/G10</x:f>
        <x:v>0.1655229074366115</x:v>
      </x:c>
      <x:c r="H34" s="47" t="n">
        <x:f>H33/H10</x:f>
        <x:v>0.1698292604025444</x:v>
      </x:c>
      <x:c r="I34" s="47" t="n">
        <x:f>I33/I10</x:f>
        <x:v>0.1726533507894052</x:v>
      </x:c>
      <x:c r="J34" s="47" t="n">
        <x:f>J33/J10</x:f>
        <x:v>0.1731838915703332</x:v>
      </x:c>
    </x:row>
  </x:sheetData>
  <x:mergeCells>
    <x:mergeCell ref="A1:J1"/>
    <x:mergeCell ref="A2:J2"/>
    <x:mergeCell ref="A5:J5"/>
    <x:mergeCell ref="A12:J12"/>
    <x:mergeCell ref="A25:J25"/>
  </x:mergeCells>
  <x:pageMargins left="0.7" right="0.7" top="0.75" bottom="0.75" header="0.3" footer="0.3"/>
  <x:legacyDrawing xmlns:r="http://schemas.openxmlformats.org/officeDocument/2006/relationships" r:id="R4a23d14743ab436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3" t="str">
        <x:v>Discounted Cash Flow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Mid-year convention; Gordon-growth terminal value. Active case follows Assumptions!B3.</x:v>
      </x:c>
      <x:c r="B2" s="6"/>
      <x:c r="C2" s="6"/>
      <x:c r="D2" s="6"/>
      <x:c r="E2" s="6"/>
      <x:c r="F2" s="6"/>
      <x:c r="G2" s="6"/>
      <x:c r="H2" s="6"/>
    </x:row>
    <x:row r="4">
      <x:c r="A4" s="26" t="str">
        <x:v>USD millions except per-share</x:v>
      </x:c>
      <x:c r="B4" s="41" t="n">
        <x:v>46387</x:v>
      </x:c>
      <x:c r="C4" s="41" t="n">
        <x:v>46752</x:v>
      </x:c>
      <x:c r="D4" s="41" t="n">
        <x:v>47118</x:v>
      </x:c>
      <x:c r="E4" s="41" t="n">
        <x:v>47483</x:v>
      </x:c>
      <x:c r="F4" s="41" t="n">
        <x:v>47848</x:v>
      </x:c>
      <x:c r="G4" s="41" t="n">
        <x:v>48213</x:v>
      </x:c>
    </x:row>
    <x:row r="5">
      <x:c r="A5" t="str">
        <x:v>Revenue</x:v>
      </x:c>
      <x:c r="B5" s="51" t="n">
        <x:f>'Operating Model'!E$10</x:f>
        <x:v>5000.5683</x:v>
      </x:c>
      <x:c r="C5" s="51" t="n">
        <x:f>'Operating Model'!F$10</x:f>
        <x:v>5757.167515500001</x:v>
      </x:c>
      <x:c r="D5" s="51" t="n">
        <x:f>'Operating Model'!G$10</x:f>
        <x:v>6528.76531398</x:v>
      </x:c>
      <x:c r="E5" s="51" t="n">
        <x:f>'Operating Model'!H$10</x:f>
        <x:v>7250.6872494054005</x:v>
      </x:c>
      <x:c r="F5" s="51" t="n">
        <x:f>'Operating Model'!I$10</x:f>
        <x:v>7875.887149474741</x:v>
      </x:c>
      <x:c r="G5" s="51" t="n">
        <x:f>'Operating Model'!J$10</x:f>
        <x:v>8419.405139877681</x:v>
      </x:c>
    </x:row>
    <x:row r="6">
      <x:c r="A6" t="str">
        <x:v>Adjusted operating income</x:v>
      </x:c>
      <x:c r="B6" s="51" t="n">
        <x:f>'Operating Model'!E$18</x:f>
        <x:v>1021.4652906000001</x:v>
      </x:c>
      <x:c r="C6" s="51" t="n">
        <x:f>'Operating Model'!F$18</x:f>
        <x:v>1265.2306127915003</x:v>
      </x:c>
      <x:c r="D6" s="51" t="n">
        <x:f>'Operating Model'!G$18</x:f>
        <x:v>1477.4253613080402</x:v>
      </x:c>
      <x:c r="E6" s="51" t="n">
        <x:f>'Operating Model'!H$18</x:f>
        <x:v>1668.0665585106958</x:v>
      </x:c>
      <x:c r="F6" s="51" t="n">
        <x:f>'Operating Model'!I$18</x:f>
        <x:v>1825.7658974289777</x:v>
      </x:c>
      <x:c r="G6" s="51" t="n">
        <x:f>'Operating Model'!J$18</x:f>
        <x:v>1953.8068045723348</x:v>
      </x:c>
    </x:row>
    <x:row r="7">
      <x:c r="A7" t="str">
        <x:v>Unlevered free cash flow</x:v>
      </x:c>
      <x:c r="B7" s="51" t="n">
        <x:f>'Operating Model'!E$33</x:f>
        <x:v>731.2739433680001</x:v>
      </x:c>
      <x:c r="C7" s="51" t="n">
        <x:f>'Operating Model'!F$33</x:f>
        <x:v>923.2730666868703</x:v>
      </x:c>
      <x:c r="D7" s="51" t="n">
        <x:f>'Operating Model'!G$33</x:f>
        <x:v>1080.6602167412714</x:v>
      </x:c>
      <x:c r="E7" s="51" t="n">
        <x:f>'Operating Model'!H$33</x:f>
        <x:v>1231.3788529766782</x:v>
      </x:c>
      <x:c r="F7" s="51" t="n">
        <x:f>'Operating Model'!I$33</x:f>
        <x:v>1359.798306796031</x:v>
      </x:c>
      <x:c r="G7" s="51" t="n">
        <x:f>'Operating Model'!J$33</x:f>
        <x:v>1458.1053468312823</x:v>
      </x:c>
    </x:row>
    <x:row r="8">
      <x:c r="A8" t="str">
        <x:v>Discount period</x:v>
      </x:c>
      <x:c r="B8" s="64" t="n">
        <x:v>0.5</x:v>
      </x:c>
      <x:c r="C8" s="64" t="n">
        <x:v>1.5</x:v>
      </x:c>
      <x:c r="D8" s="64" t="n">
        <x:v>2.5</x:v>
      </x:c>
      <x:c r="E8" s="64" t="n">
        <x:v>3.5</x:v>
      </x:c>
      <x:c r="F8" s="64" t="n">
        <x:v>4.5</x:v>
      </x:c>
      <x:c r="G8" s="64" t="n">
        <x:v>5.5</x:v>
      </x:c>
    </x:row>
    <x:row r="9">
      <x:c r="A9" t="str">
        <x:v>Discount factor</x:v>
      </x:c>
      <x:c r="B9" s="65" t="n">
        <x:f>1/(1+$B$13)^B8</x:f>
        <x:v>0.9600307214746386</x:v>
      </x:c>
      <x:c r="C9" s="65" t="n">
        <x:f>1/(1+$B$13)^C8</x:f>
        <x:v>0.88482094145128</x:v>
      </x:c>
      <x:c r="D9" s="65" t="n">
        <x:f>1/(1+$B$13)^D8</x:f>
        <x:v>0.8155031718444976</x:v>
      </x:c>
      <x:c r="E9" s="65" t="n">
        <x:f>1/(1+$B$13)^E8</x:f>
        <x:v>0.7516158265847905</x:v>
      </x:c>
      <x:c r="F9" s="65" t="n">
        <x:f>1/(1+$B$13)^F8</x:f>
        <x:v>0.6927334807233092</x:v>
      </x:c>
      <x:c r="G9" s="65" t="n">
        <x:f>1/(1+$B$13)^G8</x:f>
        <x:v>0.638464037533004</x:v>
      </x:c>
    </x:row>
    <x:row r="10">
      <x:c r="A10" t="str">
        <x:v>PV of UFCF</x:v>
      </x:c>
      <x:c r="B10" s="52" t="n">
        <x:f>B7*B9</x:f>
        <x:v>702.0454514471852</x:v>
      </x:c>
      <x:c r="C10" s="52" t="n">
        <x:f>C7*C9</x:f>
        <x:v>816.9313440824869</x:v>
      </x:c>
      <x:c r="D10" s="52" t="n">
        <x:f>D7*D9</x:f>
        <x:v>881.2818344386691</x:v>
      </x:c>
      <x:c r="E10" s="52" t="n">
        <x:f>E7*E9</x:f>
        <x:v>925.5238344190973</x:v>
      </x:c>
      <x:c r="F10" s="52" t="n">
        <x:f>F7*F9</x:f>
        <x:v>941.9778141484769</x:v>
      </x:c>
      <x:c r="G10" s="52" t="n">
        <x:f>G7*G9</x:f>
        <x:v>930.9478268863616</x:v>
      </x:c>
    </x:row>
    <x:row r="12" ht="20" customHeight="1">
      <x:c r="A12" s="20" t="str">
        <x:v>DCF valuation bridge</x:v>
      </x:c>
      <x:c r="B12" s="20"/>
      <x:c r="C12" s="20"/>
      <x:c r="D12" s="20"/>
    </x:row>
    <x:row r="13">
      <x:c r="A13" t="str">
        <x:v>WACC</x:v>
      </x:c>
      <x:c r="B13" s="53" t="n">
        <x:f>'Assumptions'!$B$48</x:f>
        <x:v>0.085</x:v>
      </x:c>
    </x:row>
    <x:row r="14">
      <x:c r="A14" t="str">
        <x:v>Terminal growth</x:v>
      </x:c>
      <x:c r="B14" s="53" t="n">
        <x:f>'Assumptions'!$B$49</x:f>
        <x:v>0.03</x:v>
      </x:c>
    </x:row>
    <x:row r="15">
      <x:c r="A15" t="str">
        <x:v>Terminal UFCF</x:v>
      </x:c>
      <x:c r="B15" s="52" t="n">
        <x:f>G7*(1+B14)</x:f>
        <x:v>1501.8485072362207</x:v>
      </x:c>
    </x:row>
    <x:row r="16">
      <x:c r="A16" t="str">
        <x:v>Terminal value</x:v>
      </x:c>
      <x:c r="B16" s="52" t="n">
        <x:f>B15/(B13-B14)</x:f>
        <x:v>27306.33649520401</x:v>
      </x:c>
    </x:row>
    <x:row r="17">
      <x:c r="A17" t="str">
        <x:v>PV of explicit UFCF</x:v>
      </x:c>
      <x:c r="B17" s="52" t="n">
        <x:f>SUM(B10:G10)</x:f>
        <x:v>5198.708105422276</x:v>
      </x:c>
    </x:row>
    <x:row r="18">
      <x:c r="A18" t="str">
        <x:v>PV of terminal value</x:v>
      </x:c>
      <x:c r="B18" s="52" t="n">
        <x:f>B16*G9</x:f>
        <x:v>17434.11384896277</x:v>
      </x:c>
    </x:row>
    <x:row r="19">
      <x:c r="A19" s="32" t="str">
        <x:v>Enterprise value</x:v>
      </x:c>
      <x:c r="B19" s="57" t="n">
        <x:f>SUM(B17:B18)</x:f>
        <x:v>22632.821954385046</x:v>
      </x:c>
    </x:row>
    <x:row r="20">
      <x:c r="A20" t="str">
        <x:v>Less: net debt</x:v>
      </x:c>
      <x:c r="B20" s="52" t="n">
        <x:f>-'Assumptions'!$B$33</x:f>
        <x:v>-1375</x:v>
      </x:c>
    </x:row>
    <x:row r="21">
      <x:c r="A21" s="32" t="str">
        <x:v>Equity value</x:v>
      </x:c>
      <x:c r="B21" s="57" t="n">
        <x:f>SUM(B19:B20)</x:f>
        <x:v>21257.821954385046</x:v>
      </x:c>
    </x:row>
    <x:row r="22">
      <x:c r="A22" t="str">
        <x:v>Diluted shares</x:v>
      </x:c>
      <x:c r="B22" s="52" t="n">
        <x:f>'Operating Model'!$E$22</x:f>
        <x:v>164</x:v>
      </x:c>
    </x:row>
    <x:row r="23">
      <x:c r="A23" s="32" t="str">
        <x:v>DCF value per share</x:v>
      </x:c>
      <x:c r="B23" s="63" t="n">
        <x:f>B21/B22</x:f>
        <x:v>129.62086557551856</x:v>
      </x:c>
    </x:row>
    <x:row r="24">
      <x:c r="A24" t="str">
        <x:v>Current share price</x:v>
      </x:c>
      <x:c r="B24" s="59" t="n">
        <x:f>'Assumptions'!$B$32</x:f>
        <x:v>159</x:v>
      </x:c>
    </x:row>
    <x:row r="25">
      <x:c r="A25" t="str">
        <x:v>Upside / (downside)</x:v>
      </x:c>
      <x:c r="B25" s="47" t="n">
        <x:f>B23/B24-1</x:f>
        <x:v>-0.1847744303426505</x:v>
      </x:c>
    </x:row>
    <x:row r="28" ht="20" customHeight="1">
      <x:c r="A28" s="20" t="str">
        <x:v>WACC / terminal growth sensitivity ($ per share)</x:v>
      </x:c>
      <x:c r="B28" s="20"/>
      <x:c r="C28" s="20"/>
      <x:c r="D28" s="20"/>
      <x:c r="E28" s="20"/>
      <x:c r="F28" s="20"/>
      <x:c r="G28" s="20"/>
    </x:row>
    <x:row r="29">
      <x:c r="A29" s="24" t="str">
        <x:v>WACC / TGR</x:v>
      </x:c>
      <x:c r="B29" s="68" t="n">
        <x:v>0.02</x:v>
      </x:c>
      <x:c r="C29" s="68" t="n">
        <x:v>0.025</x:v>
      </x:c>
      <x:c r="D29" s="68" t="n">
        <x:v>0.03</x:v>
      </x:c>
      <x:c r="E29" s="68" t="n">
        <x:v>0.035</x:v>
      </x:c>
      <x:c r="F29" s="68" t="n">
        <x:v>0.04</x:v>
      </x:c>
    </x:row>
    <x:row r="30">
      <x:c r="A30" s="28" t="n">
        <x:v>0.075</x:v>
      </x:c>
      <x:c r="B30" s="59" t="n">
        <x:f>(SUMPRODUCT($B$7:$G$7,1/(1+$A30)^$B$8:$G$8)+$G$7*(1+B$29)/($A30-B$29)/(1+$A30)^$G$8-'Assumptions'!$B$33)/'Operating Model'!$E$22</x:f>
        <x:v>135.03103349771285</x:v>
      </x:c>
      <x:c r="C30" s="59" t="n">
        <x:f>(SUMPRODUCT($B$7:$G$7,1/(1+$A30)^$B$8:$G$8)+$G$7*(1+C$29)/($A30-C$29)/(1+$A30)^$G$8-'Assumptions'!$B$33)/'Operating Model'!$E$22</x:f>
        <x:v>146.70569442057962</x:v>
      </x:c>
      <x:c r="D30" s="59" t="n">
        <x:f>(SUMPRODUCT($B$7:$G$7,1/(1+$A30)^$B$8:$G$8)+$G$7*(1+D$29)/($A30-D$29)/(1+$A30)^$G$8-'Assumptions'!$B$33)/'Operating Model'!$E$22</x:f>
        <x:v>160.97472443741674</x:v>
      </x:c>
      <x:c r="E30" s="59" t="n">
        <x:f>(SUMPRODUCT($B$7:$G$7,1/(1+$A30)^$B$8:$G$8)+$G$7*(1+E$29)/($A30-E$29)/(1+$A30)^$G$8-'Assumptions'!$B$33)/'Operating Model'!$E$22</x:f>
        <x:v>178.81101195846315</x:v>
      </x:c>
      <x:c r="F30" s="59" t="n">
        <x:f>(SUMPRODUCT($B$7:$G$7,1/(1+$A30)^$B$8:$G$8)+$G$7*(1+F$29)/($A30-F$29)/(1+$A30)^$G$8-'Assumptions'!$B$33)/'Operating Model'!$E$22</x:f>
        <x:v>201.74338162838</x:v>
      </x:c>
    </x:row>
    <x:row r="31">
      <x:c r="A31" s="28" t="n">
        <x:v>0.08</x:v>
      </x:c>
      <x:c r="B31" s="59" t="n">
        <x:f>(SUMPRODUCT($B$7:$G$7,1/(1+$A31)^$B$8:$G$8)+$G$7*(1+B$29)/($A31-B$29)/(1+$A31)^$G$8-'Assumptions'!$B$33)/'Operating Model'!$E$22</x:f>
        <x:v>122.76451663393645</x:v>
      </x:c>
      <x:c r="C31" s="59" t="n">
        <x:f>(SUMPRODUCT($B$7:$G$7,1/(1+$A31)^$B$8:$G$8)+$G$7*(1+C$29)/($A31-C$29)/(1+$A31)^$G$8-'Assumptions'!$B$33)/'Operating Model'!$E$22</x:f>
        <x:v>132.29235145103075</x:v>
      </x:c>
      <x:c r="D31" s="59" t="n">
        <x:f>(SUMPRODUCT($B$7:$G$7,1/(1+$A31)^$B$8:$G$8)+$G$7*(1+D$29)/($A31-D$29)/(1+$A31)^$G$8-'Assumptions'!$B$33)/'Operating Model'!$E$22</x:f>
        <x:v>143.72575323154396</x:v>
      </x:c>
      <x:c r="E31" s="59" t="n">
        <x:f>(SUMPRODUCT($B$7:$G$7,1/(1+$A31)^$B$8:$G$8)+$G$7*(1+E$29)/($A31-E$29)/(1+$A31)^$G$8-'Assumptions'!$B$33)/'Operating Model'!$E$22</x:f>
        <x:v>157.69991096328235</x:v>
      </x:c>
      <x:c r="F31" s="59" t="n">
        <x:f>(SUMPRODUCT($B$7:$G$7,1/(1+$A31)^$B$8:$G$8)+$G$7*(1+F$29)/($A31-F$29)/(1+$A31)^$G$8-'Assumptions'!$B$33)/'Operating Model'!$E$22</x:f>
        <x:v>175.16760812795528</x:v>
      </x:c>
    </x:row>
    <x:row r="32">
      <x:c r="A32" s="28" t="n">
        <x:v>0.085</x:v>
      </x:c>
      <x:c r="B32" s="59" t="n">
        <x:f>(SUMPRODUCT($B$7:$G$7,1/(1+$A32)^$B$8:$G$8)+$G$7*(1+B$29)/($A32-B$29)/(1+$A32)^$G$8-'Assumptions'!$B$33)/'Operating Model'!$E$22</x:f>
        <x:v>112.39285274639181</x:v>
      </x:c>
      <x:c r="C32" s="59" t="n">
        <x:f>(SUMPRODUCT($B$7:$G$7,1/(1+$A32)^$B$8:$G$8)+$G$7*(1+C$29)/($A32-C$29)/(1+$A32)^$G$8-'Assumptions'!$B$33)/'Operating Model'!$E$22</x:f>
        <x:v>120.2890252930749</x:v>
      </x:c>
      <x:c r="D32" s="59" t="n">
        <x:f>(SUMPRODUCT($B$7:$G$7,1/(1+$A32)^$B$8:$G$8)+$G$7*(1+D$29)/($A32-D$29)/(1+$A32)^$G$8-'Assumptions'!$B$33)/'Operating Model'!$E$22</x:f>
        <x:v>129.62086557551856</x:v>
      </x:c>
      <x:c r="E32" s="59" t="n">
        <x:f>(SUMPRODUCT($B$7:$G$7,1/(1+$A32)^$B$8:$G$8)+$G$7*(1+E$29)/($A32-E$29)/(1+$A32)^$G$8-'Assumptions'!$B$33)/'Operating Model'!$E$22</x:f>
        <x:v>140.81907391445097</x:v>
      </x:c>
      <x:c r="F32" s="59" t="n">
        <x:f>(SUMPRODUCT($B$7:$G$7,1/(1+$A32)^$B$8:$G$8)+$G$7*(1+F$29)/($A32-F$29)/(1+$A32)^$G$8-'Assumptions'!$B$33)/'Operating Model'!$E$22</x:f>
        <x:v>154.50577299536837</x:v>
      </x:c>
    </x:row>
    <x:row r="33">
      <x:c r="A33" s="28" t="n">
        <x:v>0.09</x:v>
      </x:c>
      <x:c r="B33" s="59" t="n">
        <x:f>(SUMPRODUCT($B$7:$G$7,1/(1+$A33)^$B$8:$G$8)+$G$7*(1+B$29)/($A33-B$29)/(1+$A33)^$G$8-'Assumptions'!$B$33)/'Operating Model'!$E$22</x:f>
        <x:v>103.50982469082017</x:v>
      </x:c>
      <x:c r="C33" s="59" t="n">
        <x:f>(SUMPRODUCT($B$7:$G$7,1/(1+$A33)^$B$8:$G$8)+$G$7*(1+C$29)/($A33-C$29)/(1+$A33)^$G$8-'Assumptions'!$B$33)/'Operating Model'!$E$22</x:f>
        <x:v>110.13938035426169</x:v>
      </x:c>
      <x:c r="D33" s="59" t="n">
        <x:f>(SUMPRODUCT($B$7:$G$7,1/(1+$A33)^$B$8:$G$8)+$G$7*(1+D$29)/($A33-D$29)/(1+$A33)^$G$8-'Assumptions'!$B$33)/'Operating Model'!$E$22</x:f>
        <x:v>117.87386196161016</x:v>
      </x:c>
      <x:c r="E33" s="59" t="n">
        <x:f>(SUMPRODUCT($B$7:$G$7,1/(1+$A33)^$B$8:$G$8)+$G$7*(1+E$29)/($A33-E$29)/(1+$A33)^$G$8-'Assumptions'!$B$33)/'Operating Model'!$E$22</x:f>
        <x:v>127.0146129521129</x:v>
      </x:c>
      <x:c r="F33" s="59" t="n">
        <x:f>(SUMPRODUCT($B$7:$G$7,1/(1+$A33)^$B$8:$G$8)+$G$7*(1+F$29)/($A33-F$29)/(1+$A33)^$G$8-'Assumptions'!$B$33)/'Operating Model'!$E$22</x:f>
        <x:v>137.98351414071618</x:v>
      </x:c>
    </x:row>
    <x:row r="34">
      <x:c r="A34" s="28" t="n">
        <x:v>0.095</x:v>
      </x:c>
      <x:c r="B34" s="59" t="n">
        <x:f>(SUMPRODUCT($B$7:$G$7,1/(1+$A34)^$B$8:$G$8)+$G$7*(1+B$29)/($A34-B$29)/(1+$A34)^$G$8-'Assumptions'!$B$33)/'Operating Model'!$E$22</x:f>
        <x:v>95.8175448027208</x:v>
      </x:c>
      <x:c r="C34" s="59" t="n">
        <x:f>(SUMPRODUCT($B$7:$G$7,1/(1+$A34)^$B$8:$G$8)+$G$7*(1+C$29)/($A34-C$29)/(1+$A34)^$G$8-'Assumptions'!$B$33)/'Operating Model'!$E$22</x:f>
        <x:v>101.44603895351001</x:v>
      </x:c>
      <x:c r="D34" s="59" t="n">
        <x:f>(SUMPRODUCT($B$7:$G$7,1/(1+$A34)^$B$8:$G$8)+$G$7*(1+D$29)/($A34-D$29)/(1+$A34)^$G$8-'Assumptions'!$B$33)/'Operating Model'!$E$22</x:f>
        <x:v>107.94045528134373</x:v>
      </x:c>
      <x:c r="E34" s="59" t="n">
        <x:f>(SUMPRODUCT($B$7:$G$7,1/(1+$A34)^$B$8:$G$8)+$G$7*(1+E$29)/($A34-E$29)/(1+$A34)^$G$8-'Assumptions'!$B$33)/'Operating Model'!$E$22</x:f>
        <x:v>115.51727433048306</x:v>
      </x:c>
      <x:c r="F34" s="59" t="n">
        <x:f>(SUMPRODUCT($B$7:$G$7,1/(1+$A34)^$B$8:$G$8)+$G$7*(1+F$29)/($A34-F$29)/(1+$A34)^$G$8-'Assumptions'!$B$33)/'Operating Model'!$E$22</x:f>
        <x:v>124.47169684310228</x:v>
      </x:c>
    </x:row>
  </x:sheetData>
  <x:mergeCells>
    <x:mergeCell ref="A1:H1"/>
    <x:mergeCell ref="A2:H2"/>
    <x:mergeCell ref="A12:D12"/>
    <x:mergeCell ref="A28:G28"/>
  </x:mergeCells>
  <x:conditionalFormatting sqref="B30:F34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legacyDrawing xmlns:r="http://schemas.openxmlformats.org/officeDocument/2006/relationships" r:id="Ra2de2ceb797e4c2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2" hidden="0" customWidth="1"/>
  </x:cols>
  <x:sheetData>
    <x:row r="1" ht="28" customHeight="1">
      <x:c r="A1" s="3" t="str">
        <x:v>Trading Comparables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Forward P/E snapshot. Update blue market inputs before publication; core median excludes NVT and Atkore.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Company</x:v>
      </x:c>
      <x:c r="B4" s="9" t="str">
        <x:v>Ticker</x:v>
      </x:c>
      <x:c r="C4" s="9" t="str">
        <x:v>Peer group</x:v>
      </x:c>
      <x:c r="D4" s="9" t="str">
        <x:v>Forward P/E</x:v>
      </x:c>
      <x:c r="E4" s="9" t="str">
        <x:v>Core set?</x:v>
      </x:c>
      <x:c r="F4" s="9" t="str">
        <x:v>Source ID</x:v>
      </x:c>
      <x:c r="G4" s="9" t="str">
        <x:v>Relative to core median</x:v>
      </x:c>
      <x:c r="H4" s="9" t="str">
        <x:v>Notes</x:v>
      </x:c>
    </x:row>
    <x:row r="5">
      <x:c r="A5" t="str">
        <x:v>nVent</x:v>
      </x:c>
      <x:c r="B5" t="str">
        <x:v>NVT</x:v>
      </x:c>
      <x:c r="C5" t="str">
        <x:v>Target</x:v>
      </x:c>
      <x:c r="D5" s="69" t="n">
        <x:v>33.2</x:v>
      </x:c>
      <x:c r="E5" t="str">
        <x:v>No</x:v>
      </x:c>
      <x:c r="F5" t="str">
        <x:v>S08</x:v>
      </x:c>
      <x:c r="G5" s="47" t="n">
        <x:f>D5/$D$14-1</x:f>
        <x:v>0.12733446519524638</x:v>
      </x:c>
      <x:c r="H5" s="11" t="str">
        <x:v>Current forward P/E; target company.</x:v>
      </x:c>
    </x:row>
    <x:row r="6">
      <x:c r="A6" t="str">
        <x:v>Vertiv</x:v>
      </x:c>
      <x:c r="B6" t="str">
        <x:v>VRT</x:v>
      </x:c>
      <x:c r="C6" t="str">
        <x:v>Data-center infrastructure</x:v>
      </x:c>
      <x:c r="D6" s="69" t="n">
        <x:v>44.6</x:v>
      </x:c>
      <x:c r="E6" t="str">
        <x:v>Yes</x:v>
      </x:c>
      <x:c r="F6" t="str">
        <x:v>S10</x:v>
      </x:c>
      <x:c r="G6" s="47" t="n">
        <x:f>D6/$D$14-1</x:f>
        <x:v>0.5144312393887946</x:v>
      </x:c>
      <x:c r="H6" s="11" t="str">
        <x:v>Higher data-center purity and faster growth.</x:v>
      </x:c>
    </x:row>
    <x:row r="7">
      <x:c r="A7" t="str">
        <x:v>Eaton</x:v>
      </x:c>
      <x:c r="B7" t="str">
        <x:v>ETN</x:v>
      </x:c>
      <x:c r="C7" t="str">
        <x:v>Electrical compounder</x:v>
      </x:c>
      <x:c r="D7" s="69" t="n">
        <x:v>30.3</x:v>
      </x:c>
      <x:c r="E7" t="str">
        <x:v>Yes</x:v>
      </x:c>
      <x:c r="F7" t="str">
        <x:v>S11</x:v>
      </x:c>
      <x:c r="G7" s="47" t="n">
        <x:f>D7/$D$14-1</x:f>
        <x:v>0.028862478777589073</x:v>
      </x:c>
      <x:c r="H7" s="11" t="str">
        <x:v>Large diversified electrification platform.</x:v>
      </x:c>
    </x:row>
    <x:row r="8">
      <x:c r="A8" t="str">
        <x:v>Hubbell</x:v>
      </x:c>
      <x:c r="B8" t="str">
        <x:v>HUBB</x:v>
      </x:c>
      <x:c r="C8" t="str">
        <x:v>Electrical compounder</x:v>
      </x:c>
      <x:c r="D8" s="69" t="n">
        <x:v>24.2</x:v>
      </x:c>
      <x:c r="E8" t="str">
        <x:v>Yes</x:v>
      </x:c>
      <x:c r="F8" t="str">
        <x:v>S12</x:v>
      </x:c>
      <x:c r="G8" s="47" t="n">
        <x:f>D8/$D$14-1</x:f>
        <x:v>-0.17826825127334467</x:v>
      </x:c>
      <x:c r="H8" s="11" t="str">
        <x:v>Utility and electrical infrastructure exposure.</x:v>
      </x:c>
    </x:row>
    <x:row r="9">
      <x:c r="A9" t="str">
        <x:v>ABB</x:v>
      </x:c>
      <x:c r="B9" t="str">
        <x:v>ABBN</x:v>
      </x:c>
      <x:c r="C9" t="str">
        <x:v>Electrical compounder</x:v>
      </x:c>
      <x:c r="D9" s="69" t="n">
        <x:v>29.45</x:v>
      </x:c>
      <x:c r="E9" t="str">
        <x:v>Yes</x:v>
      </x:c>
      <x:c r="F9" t="str">
        <x:v>S13</x:v>
      </x:c>
      <x:c r="G9" s="47" t="n">
        <x:f>D9/$D$14-1</x:f>
        <x:v>0</x:v>
      </x:c>
      <x:c r="H9" s="11" t="str">
        <x:v>Swiss listing; forward P/E used to avoid FX conversion.</x:v>
      </x:c>
    </x:row>
    <x:row r="10">
      <x:c r="A10" t="str">
        <x:v>Legrand</x:v>
      </x:c>
      <x:c r="B10" t="str">
        <x:v>LR</x:v>
      </x:c>
      <x:c r="C10" t="str">
        <x:v>Electrical / data centers</x:v>
      </x:c>
      <x:c r="D10" s="69" t="n">
        <x:v>22.98</x:v>
      </x:c>
      <x:c r="E10" t="str">
        <x:v>Yes</x:v>
      </x:c>
      <x:c r="F10" t="str">
        <x:v>S14</x:v>
      </x:c>
      <x:c r="G10" s="47" t="n">
        <x:f>D10/$D$14-1</x:f>
        <x:v>-0.21969439728353135</x:v>
      </x:c>
      <x:c r="H10" s="11" t="str">
        <x:v>Relevant white-space and electrical products exposure.</x:v>
      </x:c>
    </x:row>
    <x:row r="11">
      <x:c r="A11" t="str">
        <x:v>Atkore</x:v>
      </x:c>
      <x:c r="B11" t="str">
        <x:v>ATKR</x:v>
      </x:c>
      <x:c r="C11" t="str">
        <x:v>Cyclical electrical products</x:v>
      </x:c>
      <x:c r="D11" s="69" t="n">
        <x:v>12.39</x:v>
      </x:c>
      <x:c r="E11" t="str">
        <x:v>No</x:v>
      </x:c>
      <x:c r="F11" t="str">
        <x:v>S15</x:v>
      </x:c>
      <x:c r="G11" s="47" t="n">
        <x:f>D11/$D$14-1</x:f>
        <x:v>-0.5792869269949066</x:v>
      </x:c>
      <x:c r="H11" s="11" t="str">
        <x:v>Displayed as lower-growth cyclical reference.</x:v>
      </x:c>
    </x:row>
    <x:row r="13" ht="20" customHeight="1">
      <x:c r="A13" s="20" t="str">
        <x:v>Core comp output</x:v>
      </x:c>
      <x:c r="B13" s="20"/>
      <x:c r="C13" s="20"/>
      <x:c r="D13" s="20"/>
    </x:row>
    <x:row r="14">
      <x:c r="A14" s="32" t="str">
        <x:v>Core peer median forward P/E</x:v>
      </x:c>
      <x:c r="B14" s="32"/>
      <x:c r="C14" s="32"/>
      <x:c r="D14" s="72" t="n">
        <x:f>MEDIAN(D6:D10)</x:f>
        <x:v>29.45</x:v>
      </x:c>
    </x:row>
    <x:row r="15">
      <x:c r="A15" t="str">
        <x:v>Low peer multiple</x:v>
      </x:c>
      <x:c r="D15" s="70" t="n">
        <x:f>MIN(D6:D10)</x:f>
        <x:v>22.98</x:v>
      </x:c>
    </x:row>
    <x:row r="16">
      <x:c r="A16" t="str">
        <x:v>High peer multiple</x:v>
      </x:c>
      <x:c r="D16" s="70" t="n">
        <x:f>MAX(D6:D10)</x:f>
        <x:v>44.6</x:v>
      </x:c>
    </x:row>
    <x:row r="17">
      <x:c r="A17" t="str">
        <x:v>NVT 2027 consensus EPS</x:v>
      </x:c>
      <x:c r="D17" s="58" t="n">
        <x:f>'Assumptions'!$E$33</x:f>
        <x:v>5.74</x:v>
      </x:c>
    </x:row>
    <x:row r="18">
      <x:c r="A18" s="32" t="str">
        <x:v>Implied price at median</x:v>
      </x:c>
      <x:c r="B18" s="32"/>
      <x:c r="C18" s="32"/>
      <x:c r="D18" s="63" t="n">
        <x:f>D14*D17</x:f>
        <x:v>169.043</x:v>
      </x:c>
    </x:row>
    <x:row r="19">
      <x:c r="A19" t="str">
        <x:v>Upside / (downside)</x:v>
      </x:c>
      <x:c r="D19" s="47" t="n">
        <x:f>D18/'Assumptions'!$B$32-1</x:f>
        <x:v>0.06316352201257858</x:v>
      </x:c>
    </x:row>
  </x:sheetData>
  <x:mergeCells>
    <x:mergeCell ref="A1:H1"/>
    <x:mergeCell ref="A2:H2"/>
    <x:mergeCell ref="A13:D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8" customHeight="1">
      <x:c r="A1" s="3" t="str">
        <x:v>Sum-of-the-Parts</x:v>
      </x:c>
      <x:c r="B1" s="3"/>
      <x:c r="C1" s="3"/>
      <x:c r="D1" s="3"/>
      <x:c r="E1" s="3"/>
    </x:row>
    <x:row r="2" ht="22" customHeight="1">
      <x:c r="A2" s="6" t="str">
        <x:v>Values the two disclosed segments on 2027E segment income and separately capitalizes corporate costs.</x:v>
      </x:c>
      <x:c r="B2" s="6"/>
      <x:c r="C2" s="6"/>
      <x:c r="D2" s="6"/>
      <x:c r="E2" s="6"/>
    </x:row>
    <x:row r="4">
      <x:c r="A4" s="26" t="str">
        <x:v>USD millions except per-share</x:v>
      </x:c>
      <x:c r="B4" s="24" t="str">
        <x:v>Bear</x:v>
      </x:c>
      <x:c r="C4" s="24" t="str">
        <x:v>Base</x:v>
      </x:c>
      <x:c r="D4" s="24" t="str">
        <x:v>Bull</x:v>
      </x:c>
    </x:row>
    <x:row r="6" ht="20" customHeight="1">
      <x:c r="A6" s="20" t="str">
        <x:v>2027 operating metrics</x:v>
      </x:c>
      <x:c r="B6" s="20"/>
      <x:c r="C6" s="20"/>
      <x:c r="D6" s="20"/>
    </x:row>
    <x:row r="7">
      <x:c r="A7" t="str">
        <x:v>Systems Protection revenue</x:v>
      </x:c>
      <x:c r="B7" s="51" t="n">
        <x:f>'Historical'!$D$6*(1+'Assumptions'!$D6)*(1+'Assumptions'!$E6)</x:f>
        <x:v>3920.4648000000007</x:v>
      </x:c>
      <x:c r="C7" s="51" t="n">
        <x:f>'Historical'!$D$6*(1+'Assumptions'!$D7)*(1+'Assumptions'!$E7)</x:f>
        <x:v>4261.677475500001</x:v>
      </x:c>
      <x:c r="D7" s="51" t="n">
        <x:f>'Historical'!$D$6*(1+'Assumptions'!$D8)*(1+'Assumptions'!$E8)</x:f>
        <x:v>4528.75914</x:v>
      </x:c>
    </x:row>
    <x:row r="8">
      <x:c r="A8" t="str">
        <x:v>Systems Protection margin</x:v>
      </x:c>
      <x:c r="B8" s="53" t="n">
        <x:f>'Assumptions'!$E14</x:f>
        <x:v>0.215</x:v>
      </x:c>
      <x:c r="C8" s="53" t="n">
        <x:f>'Assumptions'!$E15</x:f>
        <x:v>0.233</x:v>
      </x:c>
      <x:c r="D8" s="53" t="n">
        <x:f>'Assumptions'!$E16</x:f>
        <x:v>0.24</x:v>
      </x:c>
    </x:row>
    <x:row r="9">
      <x:c r="A9" t="str">
        <x:v>Systems Protection segment income</x:v>
      </x:c>
      <x:c r="B9" s="51" t="n">
        <x:f>B7*B8</x:f>
        <x:v>842.8999320000001</x:v>
      </x:c>
      <x:c r="C9" s="51" t="n">
        <x:f>C7*C8</x:f>
        <x:v>992.9708517915002</x:v>
      </x:c>
      <x:c r="D9" s="51" t="n">
        <x:f>D7*D8</x:f>
        <x:v>1086.9021936</x:v>
      </x:c>
    </x:row>
    <x:row r="10">
      <x:c r="A10" t="str">
        <x:v>Electrical Connections revenue</x:v>
      </x:c>
      <x:c r="B10" s="51" t="n">
        <x:f>'Historical'!$D$7*(1+'Assumptions'!$D9)*(1+'Assumptions'!$E9)</x:f>
        <x:v>1446.8625600000003</x:v>
      </x:c>
      <x:c r="C10" s="51" t="n">
        <x:f>'Historical'!$D$7*(1+'Assumptions'!$D10)*(1+'Assumptions'!$E10)</x:f>
        <x:v>1495.4900400000001</x:v>
      </x:c>
      <x:c r="D10" s="51" t="n">
        <x:f>'Historical'!$D$7*(1+'Assumptions'!$D11)*(1+'Assumptions'!$E11)</x:f>
        <x:v>1530.5954400000003</x:v>
      </x:c>
    </x:row>
    <x:row r="11">
      <x:c r="A11" t="str">
        <x:v>Electrical Connections margin</x:v>
      </x:c>
      <x:c r="B11" s="53" t="n">
        <x:f>'Assumptions'!$E17</x:f>
        <x:v>0.25</x:v>
      </x:c>
      <x:c r="C11" s="53" t="n">
        <x:f>'Assumptions'!$E18</x:f>
        <x:v>0.275</x:v>
      </x:c>
      <x:c r="D11" s="53" t="n">
        <x:f>'Assumptions'!$E19</x:f>
        <x:v>0.28</x:v>
      </x:c>
    </x:row>
    <x:row r="12">
      <x:c r="A12" t="str">
        <x:v>Electrical Connections segment income</x:v>
      </x:c>
      <x:c r="B12" s="51" t="n">
        <x:f>B10*B11</x:f>
        <x:v>361.71564000000006</x:v>
      </x:c>
      <x:c r="C12" s="51" t="n">
        <x:f>C10*C11</x:f>
        <x:v>411.2597610000001</x:v>
      </x:c>
      <x:c r="D12" s="51" t="n">
        <x:f>D10*D11</x:f>
        <x:v>428.5667232000001</x:v>
      </x:c>
    </x:row>
    <x:row r="13">
      <x:c r="A13" t="str">
        <x:v>Enterprise &amp; other expense</x:v>
      </x:c>
      <x:c r="B13" s="51" t="n">
        <x:f>'Assumptions'!$E$22</x:f>
        <x:v>139</x:v>
      </x:c>
      <x:c r="C13" s="51" t="n">
        <x:f>'Assumptions'!$E$22</x:f>
        <x:v>139</x:v>
      </x:c>
      <x:c r="D13" s="51" t="n">
        <x:f>'Assumptions'!$E$22</x:f>
        <x:v>139</x:v>
      </x:c>
    </x:row>
    <x:row r="15" ht="20" customHeight="1">
      <x:c r="A15" s="20" t="str">
        <x:v>Valuation multiples and bridge</x:v>
      </x:c>
      <x:c r="B15" s="20"/>
      <x:c r="C15" s="20"/>
      <x:c r="D15" s="20"/>
    </x:row>
    <x:row r="16">
      <x:c r="A16" t="str">
        <x:v>Systems Protection EBITA multiple</x:v>
      </x:c>
      <x:c r="B16" s="69" t="n">
        <x:v>20</x:v>
      </x:c>
      <x:c r="C16" s="69" t="n">
        <x:v>24</x:v>
      </x:c>
      <x:c r="D16" s="69" t="n">
        <x:v>27</x:v>
      </x:c>
    </x:row>
    <x:row r="17">
      <x:c r="A17" t="str">
        <x:v>Electrical Connections EBITA multiple</x:v>
      </x:c>
      <x:c r="B17" s="69" t="n">
        <x:v>15</x:v>
      </x:c>
      <x:c r="C17" s="69" t="n">
        <x:v>18</x:v>
      </x:c>
      <x:c r="D17" s="69" t="n">
        <x:v>20</x:v>
      </x:c>
    </x:row>
    <x:row r="18">
      <x:c r="A18" t="str">
        <x:v>Corporate cost multiple</x:v>
      </x:c>
      <x:c r="B18" s="69" t="n">
        <x:v>16</x:v>
      </x:c>
      <x:c r="C18" s="69" t="n">
        <x:v>18</x:v>
      </x:c>
      <x:c r="D18" s="69" t="n">
        <x:v>18</x:v>
      </x:c>
    </x:row>
    <x:row r="19">
      <x:c r="A19" t="str">
        <x:v>Systems Protection enterprise value</x:v>
      </x:c>
      <x:c r="B19" s="52" t="n">
        <x:f>B9*B16</x:f>
        <x:v>16857.99864</x:v>
      </x:c>
      <x:c r="C19" s="52" t="n">
        <x:f>C9*C16</x:f>
        <x:v>23831.300442996006</x:v>
      </x:c>
      <x:c r="D19" s="52" t="n">
        <x:f>D9*D16</x:f>
        <x:v>29346.3592272</x:v>
      </x:c>
    </x:row>
    <x:row r="20">
      <x:c r="A20" t="str">
        <x:v>Electrical Connections enterprise value</x:v>
      </x:c>
      <x:c r="B20" s="52" t="n">
        <x:f>B12*B17</x:f>
        <x:v>5425.734600000001</x:v>
      </x:c>
      <x:c r="C20" s="52" t="n">
        <x:f>C12*C17</x:f>
        <x:v>7402.675698000002</x:v>
      </x:c>
      <x:c r="D20" s="52" t="n">
        <x:f>D12*D17</x:f>
        <x:v>8571.334464000003</x:v>
      </x:c>
    </x:row>
    <x:row r="21">
      <x:c r="A21" t="str">
        <x:v>Less: capitalized corporate cost</x:v>
      </x:c>
      <x:c r="B21" s="52" t="n">
        <x:f>-B13*B18</x:f>
        <x:v>-2224</x:v>
      </x:c>
      <x:c r="C21" s="52" t="n">
        <x:f>-C13*C18</x:f>
        <x:v>-2502</x:v>
      </x:c>
      <x:c r="D21" s="52" t="n">
        <x:f>-D13*D18</x:f>
        <x:v>-2502</x:v>
      </x:c>
    </x:row>
    <x:row r="22">
      <x:c r="A22" s="32" t="str">
        <x:v>Total enterprise value</x:v>
      </x:c>
      <x:c r="B22" s="57" t="n">
        <x:f>SUM(B19:B21)</x:f>
        <x:v>20059.73324</x:v>
      </x:c>
      <x:c r="C22" s="57" t="n">
        <x:f>SUM(C19:C21)</x:f>
        <x:v>28731.97614099601</x:v>
      </x:c>
      <x:c r="D22" s="57" t="n">
        <x:f>SUM(D19:D21)</x:f>
        <x:v>35415.6936912</x:v>
      </x:c>
    </x:row>
    <x:row r="23">
      <x:c r="A23" t="str">
        <x:v>Less: net debt</x:v>
      </x:c>
      <x:c r="B23" s="52" t="n">
        <x:f>-'Assumptions'!$B$33</x:f>
        <x:v>-1375</x:v>
      </x:c>
      <x:c r="C23" s="52" t="n">
        <x:f>-'Assumptions'!$B$33</x:f>
        <x:v>-1375</x:v>
      </x:c>
      <x:c r="D23" s="52" t="n">
        <x:f>-'Assumptions'!$B$33</x:f>
        <x:v>-1375</x:v>
      </x:c>
    </x:row>
    <x:row r="24">
      <x:c r="A24" s="32" t="str">
        <x:v>Equity value</x:v>
      </x:c>
      <x:c r="B24" s="57" t="n">
        <x:f>SUM(B22:B23)</x:f>
        <x:v>18684.73324</x:v>
      </x:c>
      <x:c r="C24" s="57" t="n">
        <x:f>SUM(C22:C23)</x:f>
        <x:v>27356.97614099601</x:v>
      </x:c>
      <x:c r="D24" s="57" t="n">
        <x:f>SUM(D22:D23)</x:f>
        <x:v>34040.6936912</x:v>
      </x:c>
    </x:row>
    <x:row r="25">
      <x:c r="A25" t="str">
        <x:v>Diluted shares</x:v>
      </x:c>
      <x:c r="B25" s="52" t="n">
        <x:f>'Operating Model'!$E$22</x:f>
        <x:v>164</x:v>
      </x:c>
      <x:c r="C25" s="52" t="n">
        <x:f>'Operating Model'!$E$22</x:f>
        <x:v>164</x:v>
      </x:c>
      <x:c r="D25" s="52" t="n">
        <x:f>'Operating Model'!$E$22</x:f>
        <x:v>164</x:v>
      </x:c>
    </x:row>
    <x:row r="26">
      <x:c r="A26" s="32" t="str">
        <x:v>SOTP value per share</x:v>
      </x:c>
      <x:c r="B26" s="63" t="n">
        <x:f>B24/B25</x:f>
        <x:v>113.93130024390244</x:v>
      </x:c>
      <x:c r="C26" s="63" t="n">
        <x:f>C24/C25</x:f>
        <x:v>166.81083012802443</x:v>
      </x:c>
      <x:c r="D26" s="63" t="n">
        <x:f>D24/D25</x:f>
        <x:v>207.56520543414635</x:v>
      </x:c>
    </x:row>
  </x:sheetData>
  <x:mergeCells>
    <x:mergeCell ref="A1:E1"/>
    <x:mergeCell ref="A2:E2"/>
    <x:mergeCell ref="A6:D6"/>
    <x:mergeCell ref="A15:D15"/>
  </x:mergeCells>
  <x:pageMargins left="0.7" right="0.7" top="0.75" bottom="0.75" header="0.3" footer="0.3"/>
  <x:legacyDrawing xmlns:r="http://schemas.openxmlformats.org/officeDocument/2006/relationships" r:id="Re0490930985d4e9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8" customHeight="1">
      <x:c r="A1" s="3" t="str">
        <x:v>Model Checks</x:v>
      </x:c>
      <x:c r="B1" s="3"/>
      <x:c r="C1" s="3"/>
      <x:c r="D1" s="3"/>
      <x:c r="E1" s="3"/>
      <x:c r="F1" s="3"/>
      <x:c r="G1" s="3"/>
    </x:row>
    <x:row r="2" ht="22" customHeight="1">
      <x:c r="A2" s="6" t="str">
        <x:v>One assertion per row. Final status should be OK before relying on valuation outputs.</x:v>
      </x:c>
      <x:c r="B2" s="6"/>
      <x:c r="C2" s="6"/>
      <x:c r="D2" s="6"/>
      <x:c r="E2" s="6"/>
      <x:c r="F2" s="6"/>
      <x:c r="G2" s="6"/>
    </x:row>
    <x:row r="4">
      <x:c r="A4" s="9" t="str">
        <x:v>Check</x:v>
      </x:c>
      <x:c r="B4" s="9" t="str">
        <x:v>Actual</x:v>
      </x:c>
      <x:c r="C4" s="9" t="str">
        <x:v>Expected</x:v>
      </x:c>
      <x:c r="D4" s="9" t="str">
        <x:v>Difference</x:v>
      </x:c>
      <x:c r="E4" s="9" t="str">
        <x:v>Tolerance</x:v>
      </x:c>
      <x:c r="F4" s="9" t="str">
        <x:v>Status</x:v>
      </x:c>
      <x:c r="G4" s="9" t="str">
        <x:v>Fix hint</x:v>
      </x:c>
    </x:row>
    <x:row r="5">
      <x:c r="A5" t="str">
        <x:v>2025 revenue = SP + EC</x:v>
      </x:c>
      <x:c r="B5" s="27" t="n">
        <x:f>'Historical'!$D$8</x:f>
        <x:v>3893.1</x:v>
      </x:c>
      <x:c r="C5" s="27" t="n">
        <x:f>SUM('Historical'!$D$6:$D$7)</x:f>
        <x:v>3893.1000000000004</x:v>
      </x:c>
      <x:c r="D5" s="27" t="n">
        <x:f>B5-C5</x:f>
        <x:v>-4.547473508864641e-13</x:v>
      </x:c>
      <x:c r="E5" s="27" t="n">
        <x:v>0.1</x:v>
      </x:c>
      <x:c r="F5" t="str">
        <x:f>IF(ABS(D5)&lt;=E5,"OK","CHECK")</x:f>
        <x:v>OK</x:v>
      </x:c>
      <x:c r="G5" s="11" t="str">
        <x:v>Check Historical rows 6-8.</x:v>
      </x:c>
    </x:row>
    <x:row r="6">
      <x:c r="A6" t="str">
        <x:v>2025 adjusted EBIT = segments + corporate</x:v>
      </x:c>
      <x:c r="B6" s="27" t="n">
        <x:f>'Historical'!$D$15</x:f>
        <x:v>785.8</x:v>
      </x:c>
      <x:c r="C6" s="27" t="n">
        <x:f>SUM('Historical'!$D$10,'Historical'!$D$12,'Historical'!$D$14)</x:f>
        <x:v>785.8000000000001</x:v>
      </x:c>
      <x:c r="D6" s="27" t="n">
        <x:f>B6-C6</x:f>
        <x:v>-1.1368683772161603e-13</x:v>
      </x:c>
      <x:c r="E6" s="27" t="n">
        <x:v>0.1</x:v>
      </x:c>
      <x:c r="F6" t="str">
        <x:f>IF(ABS(D6)&lt;=E6,"OK","CHECK")</x:f>
        <x:v>OK</x:v>
      </x:c>
      <x:c r="G6" s="11" t="str">
        <x:v>Check Historical rows 10-15.</x:v>
      </x:c>
    </x:row>
    <x:row r="7">
      <x:c r="A7" t="str">
        <x:v>2026 base revenue near company/consensus range</x:v>
      </x:c>
      <x:c r="B7" s="27" t="n">
        <x:f>'Operating Model'!$E$10</x:f>
        <x:v>5000.5683</x:v>
      </x:c>
      <x:c r="C7" s="27" t="n">
        <x:v>5010</x:v>
      </x:c>
      <x:c r="D7" s="27" t="n">
        <x:f>B7-C7</x:f>
        <x:v>-9.431700000000092</x:v>
      </x:c>
      <x:c r="E7" s="27" t="n">
        <x:v>150</x:v>
      </x:c>
      <x:c r="F7" t="str">
        <x:f>IF(ABS(D7)&lt;=E7,"OK","CHECK")</x:f>
        <x:v>OK</x:v>
      </x:c>
      <x:c r="G7" s="11" t="str">
        <x:v>Review 2026 segment growth assumptions.</x:v>
      </x:c>
    </x:row>
    <x:row r="8">
      <x:c r="A8" t="str">
        <x:v>2026 base EPS within management guide</x:v>
      </x:c>
      <x:c r="B8" s="27" t="n">
        <x:f>'Operating Model'!$E$23</x:f>
        <x:v>4.5490422357804885</x:v>
      </x:c>
      <x:c r="C8" s="27" t="n">
        <x:v>4.5</x:v>
      </x:c>
      <x:c r="D8" s="27" t="n">
        <x:f>B8-C8</x:f>
        <x:v>0.0490422357804885</x:v>
      </x:c>
      <x:c r="E8" s="27" t="n">
        <x:v>0.1</x:v>
      </x:c>
      <x:c r="F8" t="str">
        <x:f>IF(ABS(D8)&lt;=E8,"OK","CHECK")</x:f>
        <x:v>OK</x:v>
      </x:c>
      <x:c r="G8" s="11" t="str">
        <x:v>Review margins, interest, tax and shares.</x:v>
      </x:c>
    </x:row>
    <x:row r="9">
      <x:c r="A9" t="str">
        <x:v>DCF UFCF ties to operating model</x:v>
      </x:c>
      <x:c r="B9" s="27" t="n">
        <x:f>'DCF'!$B$7</x:f>
        <x:v>731.2739433680001</x:v>
      </x:c>
      <x:c r="C9" s="27" t="n">
        <x:f>'Operating Model'!$E$33</x:f>
        <x:v>731.2739433680001</x:v>
      </x:c>
      <x:c r="D9" s="27" t="n">
        <x:f>B9-C9</x:f>
        <x:v>0</x:v>
      </x:c>
      <x:c r="E9" s="27" t="n">
        <x:v>0.1</x:v>
      </x:c>
      <x:c r="F9" t="str">
        <x:f>IF(ABS(D9)&lt;=E9,"OK","CHECK")</x:f>
        <x:v>OK</x:v>
      </x:c>
      <x:c r="G9" s="11" t="str">
        <x:v>Check DCF and Operating Model UFCF rows.</x:v>
      </x:c>
    </x:row>
    <x:row r="10">
      <x:c r="A10" t="str">
        <x:v>WACC exceeds terminal growth</x:v>
      </x:c>
      <x:c r="B10" s="27" t="n">
        <x:f>IF('DCF'!$B$13&gt;'DCF'!$B$14,1,0)</x:f>
        <x:v>1</x:v>
      </x:c>
      <x:c r="C10" s="27" t="n">
        <x:v>1</x:v>
      </x:c>
      <x:c r="D10" s="27" t="n">
        <x:f>B10-C10</x:f>
        <x:v>0</x:v>
      </x:c>
      <x:c r="E10" s="27" t="n">
        <x:v>0</x:v>
      </x:c>
      <x:c r="F10" t="str">
        <x:f>IF(ABS(D10)&lt;=E10,"OK","CHECK")</x:f>
        <x:v>OK</x:v>
      </x:c>
      <x:c r="G10" s="11" t="str">
        <x:v>Set WACC above terminal growth.</x:v>
      </x:c>
    </x:row>
    <x:row r="11">
      <x:c r="A11" t="str">
        <x:v>DCF value per share is formula-driven</x:v>
      </x:c>
      <x:c r="B11" s="27" t="n">
        <x:f>IF(ISNUMBER('DCF'!$B$23),1,0)</x:f>
        <x:v>1</x:v>
      </x:c>
      <x:c r="C11" s="27" t="n">
        <x:v>1</x:v>
      </x:c>
      <x:c r="D11" s="27" t="n">
        <x:f>B11-C11</x:f>
        <x:v>0</x:v>
      </x:c>
      <x:c r="E11" s="27" t="n">
        <x:v>0</x:v>
      </x:c>
      <x:c r="F11" t="str">
        <x:f>IF(ABS(D11)&lt;=E11,"OK","CHECK")</x:f>
        <x:v>OK</x:v>
      </x:c>
      <x:c r="G11" s="11" t="str">
        <x:v>Check DCF bridge formulas.</x:v>
      </x:c>
    </x:row>
    <x:row r="12">
      <x:c r="A12" t="str">
        <x:v>SOTP base value per share is formula-driven</x:v>
      </x:c>
      <x:c r="B12" s="27" t="n">
        <x:f>IF(ISNUMBER('SOTP'!$C$26),1,0)</x:f>
        <x:v>1</x:v>
      </x:c>
      <x:c r="C12" s="27" t="n">
        <x:v>1</x:v>
      </x:c>
      <x:c r="D12" s="27" t="n">
        <x:f>B12-C12</x:f>
        <x:v>0</x:v>
      </x:c>
      <x:c r="E12" s="27" t="n">
        <x:v>0</x:v>
      </x:c>
      <x:c r="F12" t="str">
        <x:f>IF(ABS(D12)&lt;=E12,"OK","CHECK")</x:f>
        <x:v>OK</x:v>
      </x:c>
      <x:c r="G12" s="11" t="str">
        <x:v>Check SOTP bridge formulas.</x:v>
      </x:c>
    </x:row>
    <x:row r="14" ht="20" customHeight="1">
      <x:c r="A14" s="20" t="str">
        <x:v>Overall model status</x:v>
      </x:c>
      <x:c r="B14" s="20"/>
      <x:c r="C14" s="20"/>
      <x:c r="D14" s="20"/>
      <x:c r="E14" s="20"/>
      <x:c r="F14" s="20"/>
      <x:c r="G14" s="20"/>
    </x:row>
    <x:row r="15">
      <x:c r="A15" t="str">
        <x:v>Status</x:v>
      </x:c>
      <x:c r="B15" s="74" t="str">
        <x:f>IF(COUNTIF(F5:F12,"CHECK")=0,"OK","CHECK")</x:f>
        <x:v>OK</x:v>
      </x:c>
    </x:row>
  </x:sheetData>
  <x:mergeCells>
    <x:mergeCell ref="A1:G1"/>
    <x:mergeCell ref="A2:G2"/>
    <x:mergeCell ref="A14:G14"/>
  </x:mergeCells>
  <x:conditionalFormatting sqref="F5:F12">
    <x:cfRule type="containsText" dxfId="0" priority="1" operator="containsText" text="OK"/>
    <x:cfRule type="containsText" dxfId="1" priority="2" operator="containsText" text="CHECK"/>
  </x:conditionalFormatting>
  <x:conditionalFormatting sqref="B15:B15">
    <x:cfRule type="containsText" dxfId="2" priority="3" operator="containsText" text="OK"/>
    <x:cfRule type="containsText" dxfId="3" priority="4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62" hidden="0" customWidth="1"/>
    <x:col min="4" max="4" width="60" hidden="0" customWidth="1"/>
  </x:cols>
  <x:sheetData>
    <x:row r="1" ht="28" customHeight="1">
      <x:c r="A1" s="3" t="str">
        <x:v>建模实操指南</x:v>
      </x:c>
      <x:c r="B1" s="3"/>
      <x:c r="C1" s="3"/>
      <x:c r="D1" s="3"/>
      <x:c r="E1" s="3"/>
      <x:c r="F1" s="3"/>
      <x:c r="G1" s="3"/>
      <x:c r="H1" s="3"/>
    </x:row>
    <x:row r="2" ht="22" customHeight="1">
      <x:c r="A2" s="6" t="str">
        <x:v>建议按顺序操作；蓝色单元格可以修改，绿色数字来自其他工作表，黑色数字由公式计算。</x:v>
      </x:c>
      <x:c r="B2" s="6"/>
      <x:c r="C2" s="6"/>
      <x:c r="D2" s="6"/>
      <x:c r="E2" s="6"/>
      <x:c r="F2" s="6"/>
      <x:c r="G2" s="6"/>
      <x:c r="H2" s="6"/>
    </x:row>
    <x:row r="4">
      <x:c r="A4" s="9" t="str">
        <x:v>步骤</x:v>
      </x:c>
      <x:c r="B4" s="9" t="str">
        <x:v>去哪里</x:v>
      </x:c>
      <x:c r="C4" s="9" t="str">
        <x:v>怎么做</x:v>
      </x:c>
      <x:c r="D4" s="9" t="str">
        <x:v>你在验证什么</x:v>
      </x:c>
    </x:row>
    <x:row r="5" ht="44" customHeight="1">
      <x:c r="A5" s="11" t="str">
        <x:v>1. 选择场景</x:v>
      </x:c>
      <x:c r="B5" s="11" t="str">
        <x:v>Assumptions!B3</x:v>
      </x:c>
      <x:c r="C5" s="11" t="str">
        <x:v>在 Bear / Base / Bull 之间切换。先从 Base 开始。</x:v>
      </x:c>
      <x:c r="D5" s="11" t="str">
        <x:v>Operating Model、DCF和Cover会同步更新。</x:v>
      </x:c>
    </x:row>
    <x:row r="6" ht="44" customHeight="1">
      <x:c r="A6" s="11" t="str">
        <x:v>2. 校准2026收入</x:v>
      </x:c>
      <x:c r="B6" s="11" t="str">
        <x:v>Assumptions!D7 与 D10</x:v>
      </x:c>
      <x:c r="C6" s="11" t="str">
        <x:v>修改2026E Systems Protection和Electrical Connections增长率。</x:v>
      </x:c>
      <x:c r="D6" s="11" t="str">
        <x:v>Operating Model!E10应接近公司指引$4.90-$4.98bn；若使用一致预期，可接近$5.01bn。</x:v>
      </x:c>
    </x:row>
    <x:row r="7" ht="44" customHeight="1">
      <x:c r="A7" s="11" t="str">
        <x:v>3. 校准2026利润率</x:v>
      </x:c>
      <x:c r="B7" s="11" t="str">
        <x:v>Assumptions!D15 与 D18</x:v>
      </x:c>
      <x:c r="C7" s="11" t="str">
        <x:v>先让Operating Model!E23重现约$4.50 EPS，再研究上修空间。</x:v>
      </x:c>
      <x:c r="D7" s="11" t="str">
        <x:v>不要用EPS作为plug；必须通过分部收入、利润率、利息、税率和股数推导。</x:v>
      </x:c>
    </x:row>
    <x:row r="8" ht="44" customHeight="1">
      <x:c r="A8" s="11" t="str">
        <x:v>4. 建立2027认知差</x:v>
      </x:c>
      <x:c r="B8" s="11" t="str">
        <x:v>Assumptions!E7:E18</x:v>
      </x:c>
      <x:c r="C8" s="11" t="str">
        <x:v>调整2027增长和利润率，观察Operating Model!F23。</x:v>
      </x:c>
      <x:c r="D8" s="11" t="str">
        <x:v>一致预期EPS约$5.74；LONG thesis最好能用经营假设推到$6.20-$6.45以上。</x:v>
      </x:c>
    </x:row>
    <x:row r="9" ht="44" customHeight="1">
      <x:c r="A9" s="11" t="str">
        <x:v>5. 检查现金流</x:v>
      </x:c>
      <x:c r="B9" s="11" t="str">
        <x:v>Operating Model!E26:J34</x:v>
      </x:c>
      <x:c r="C9" s="11" t="str">
        <x:v>检查PPA摊销税盾、折旧、CapEx和营运资本。</x:v>
      </x:c>
      <x:c r="D9" s="11" t="str">
        <x:v>UFCF不能直接等于公司口径FCF；前者是无杠杆、税后经营现金流。</x:v>
      </x:c>
    </x:row>
    <x:row r="10" ht="44" customHeight="1">
      <x:c r="A10" s="11" t="str">
        <x:v>6. 运行DCF</x:v>
      </x:c>
      <x:c r="B10" s="11" t="str">
        <x:v>DCF!B13:B25</x:v>
      </x:c>
      <x:c r="C10" s="11" t="str">
        <x:v>先检查WACC和终值增速，再看每股价值及敏感性。</x:v>
      </x:c>
      <x:c r="D10" s="11" t="str">
        <x:v>如果只有低WACC或过高terminal growth才能支持股价，说明安全边际不足。</x:v>
      </x:c>
    </x:row>
    <x:row r="11" ht="44" customHeight="1">
      <x:c r="A11" s="11" t="str">
        <x:v>7. 更新可比公司</x:v>
      </x:c>
      <x:c r="B11" s="11" t="str">
        <x:v>Comps!D5:D11</x:v>
      </x:c>
      <x:c r="C11" s="11" t="str">
        <x:v>在出报告当天更新forward P/E，并在Sources记录日期。</x:v>
      </x:c>
      <x:c r="D11" s="11" t="str">
        <x:v>不要只与Vertiv比较；Vertiv的数据中心纯度和产品广度更高。</x:v>
      </x:c>
    </x:row>
    <x:row r="12" ht="44" customHeight="1">
      <x:c r="A12" s="11" t="str">
        <x:v>8. 运行SOTP</x:v>
      </x:c>
      <x:c r="B12" s="11" t="str">
        <x:v>SOTP!B16:D18</x:v>
      </x:c>
      <x:c r="C12" s="11" t="str">
        <x:v>为两个披露分部设不同EBITA multiple，并单独资本化corporate cost。</x:v>
      </x:c>
      <x:c r="D12" s="11" t="str">
        <x:v>不要把data-center revenue直接乘高倍数，除非能够支持其独立利润率和资本占用。</x:v>
      </x:c>
    </x:row>
    <x:row r="13" ht="44" customHeight="1">
      <x:c r="A13" s="11" t="str">
        <x:v>9. 做反证</x:v>
      </x:c>
      <x:c r="B13" s="11" t="str">
        <x:v>Assumptions Bear case</x:v>
      </x:c>
      <x:c r="C13" s="11" t="str">
        <x:v>降低数据中心增长、压低SP margin并提高WACC。</x:v>
      </x:c>
      <x:c r="D13" s="11" t="str">
        <x:v>判断下行是否大于合理bull-case上涨，而不是只证明公司业务很好。</x:v>
      </x:c>
    </x:row>
    <x:row r="14" ht="44" customHeight="1">
      <x:c r="A14" s="11" t="str">
        <x:v>10. 最终审计</x:v>
      </x:c>
      <x:c r="B14" s="11" t="str">
        <x:v>Checks</x:v>
      </x:c>
      <x:c r="C14" s="11" t="str">
        <x:v>确认所有项目均为OK，再检查Sources日期。</x:v>
      </x:c>
      <x:c r="D14" s="11" t="str">
        <x:v>避免分部求和错误、硬编码估值和过期market data。</x:v>
      </x:c>
    </x:row>
    <x:row r="16" ht="20" customHeight="1">
      <x:c r="A16" s="20" t="str">
        <x:v>核心公式</x:v>
      </x:c>
      <x:c r="B16" s="20"/>
      <x:c r="C16" s="20"/>
      <x:c r="D16" s="20"/>
    </x:row>
    <x:row r="17">
      <x:c r="A17" s="75" t="str">
        <x:v>Segment revenue</x:v>
      </x:c>
      <x:c r="B17" s="11" t="str">
        <x:v>Prior-year revenue × (1 + selected growth)</x:v>
      </x:c>
    </x:row>
    <x:row r="18">
      <x:c r="A18" s="75" t="str">
        <x:v>Adjusted EBIT</x:v>
      </x:c>
      <x:c r="B18" s="11" t="str">
        <x:v>SP revenue × SP margin + EC revenue × EC margin − Enterprise &amp; other</x:v>
      </x:c>
    </x:row>
    <x:row r="19">
      <x:c r="A19" s="75" t="str">
        <x:v>Adjusted EPS</x:v>
      </x:c>
      <x:c r="B19" s="11" t="str">
        <x:v>(Adjusted EBIT − net interest) × (1 − tax rate) ÷ diluted shares</x:v>
      </x:c>
    </x:row>
    <x:row r="20">
      <x:c r="A20" s="75" t="str">
        <x:v>GAAP EBIT before one-offs</x:v>
      </x:c>
      <x:c r="B20" s="11" t="str">
        <x:v>Adjusted EBIT − PPA intangible amortization</x:v>
      </x:c>
    </x:row>
    <x:row r="21">
      <x:c r="A21" s="75" t="str">
        <x:v>UFCF</x:v>
      </x:c>
      <x:c r="B21" s="11" t="str">
        <x:v>GAAP EBIT × (1 − tax) + depreciation + amortization − capex − change in NWC</x:v>
      </x:c>
    </x:row>
    <x:row r="22">
      <x:c r="A22" s="75" t="str">
        <x:v>Terminal value</x:v>
      </x:c>
      <x:c r="B22" s="11" t="str">
        <x:v>Terminal UFCF × (1 + g) ÷ (WACC − g)</x:v>
      </x:c>
    </x:row>
    <x:row r="23">
      <x:c r="A23" s="75" t="str">
        <x:v>SOTP EV</x:v>
      </x:c>
      <x:c r="B23" s="11" t="str">
        <x:v>SP EBITA × SP multiple + EC EBITA × EC multiple − corporate cost × corporate multiple</x:v>
      </x:c>
    </x:row>
    <x:row r="24">
      <x:c r="A24" s="75" t="str">
        <x:v>Equity value</x:v>
      </x:c>
      <x:c r="B24" s="11" t="str">
        <x:v>Enterprise value − net debt</x:v>
      </x:c>
    </x:row>
  </x:sheetData>
  <x:mergeCells>
    <x:mergeCell ref="A1:H1"/>
    <x:mergeCell ref="A2:H2"/>
    <x:mergeCell ref="A16:D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56" hidden="0" customWidth="1"/>
    <x:col min="5" max="5" width="58" hidden="0" customWidth="1"/>
    <x:col min="6" max="6" width="34" hidden="0" customWidth="1"/>
    <x:col min="7" max="7" width="42" hidden="0" customWidth="1"/>
  </x:cols>
  <x:sheetData>
    <x:row r="1" ht="28" customHeight="1">
      <x:c r="A1" s="12" t="str">
        <x:v>nVent Source Library</x:v>
      </x:c>
      <x:c r="B1" s="12"/>
      <x:c r="C1" s="12"/>
      <x:c r="D1" s="12"/>
      <x:c r="E1" s="12"/>
      <x:c r="F1" s="12"/>
      <x:c r="G1" s="12"/>
    </x:row>
    <x:row r="2" ht="22" customHeight="1">
      <x:c r="A2" s="13" t="str">
        <x:v>Primary documents are downloaded locally; market-data pages are referenced by URL. As of 2026-07-22.</x:v>
      </x:c>
      <x:c r="B2" s="13"/>
      <x:c r="C2" s="13"/>
      <x:c r="D2" s="13"/>
      <x:c r="E2" s="13"/>
      <x:c r="F2" s="13"/>
      <x:c r="G2" s="13"/>
    </x:row>
    <x:row r="3">
      <x:c r="A3" s="14"/>
      <x:c r="B3" s="14"/>
      <x:c r="C3" s="14"/>
      <x:c r="D3" s="14"/>
      <x:c r="E3" s="14"/>
      <x:c r="F3" s="14"/>
      <x:c r="G3" s="14"/>
    </x:row>
    <x:row r="4">
      <x:c r="A4" s="15" t="str">
        <x:v>Source ID</x:v>
      </x:c>
      <x:c r="B4" s="15" t="str">
        <x:v>Document</x:v>
      </x:c>
      <x:c r="C4" s="15" t="str">
        <x:v>Date</x:v>
      </x:c>
      <x:c r="D4" s="15" t="str">
        <x:v>Local file</x:v>
      </x:c>
      <x:c r="E4" s="15" t="str">
        <x:v>URL</x:v>
      </x:c>
      <x:c r="F4" s="15" t="str">
        <x:v>Used for</x:v>
      </x:c>
      <x:c r="G4" s="15" t="str">
        <x:v>Notes</x:v>
      </x:c>
    </x:row>
    <x:row r="5">
      <x:c r="A5" s="14" t="str">
        <x:v>S01</x:v>
      </x:c>
      <x:c r="B5" s="14" t="str">
        <x:v>nVent 2025 Form 10-K</x:v>
      </x:c>
      <x:c r="C5" s="16" t="n">
        <x:v>46070</x:v>
      </x:c>
      <x:c r="D5" s="17" t="str">
        <x:v>/Users/zhangshuxin/Desktop/nVent_investment_research/sources/sec/NVT_2025_10-K.html</x:v>
      </x:c>
      <x:c r="E5" s="17" t="str">
        <x:v>https://www.sec.gov/Archives/edgar/data/1720635/000162828026008608/nvt-20251231.htm</x:v>
      </x:c>
      <x:c r="F5" s="17" t="str">
        <x:v>2023-2025 annual financials, segment data, cash flow</x:v>
      </x:c>
      <x:c r="G5" s="17" t="str">
        <x:v>Continuing operations; Thermal Management treated as discontinued.</x:v>
      </x:c>
    </x:row>
    <x:row r="6">
      <x:c r="A6" s="14" t="str">
        <x:v>S02</x:v>
      </x:c>
      <x:c r="B6" s="14" t="str">
        <x:v>nVent 2024 Form 10-K</x:v>
      </x:c>
      <x:c r="C6" s="16" t="n">
        <x:v>45706</x:v>
      </x:c>
      <x:c r="D6" s="17" t="str">
        <x:v>/Users/zhangshuxin/Desktop/nVent_investment_research/sources/sec/NVT_2024_10-K.html</x:v>
      </x:c>
      <x:c r="E6" s="17" t="str">
        <x:v>https://www.sec.gov/Archives/edgar/data/1720635/000172063525000018/nvt-20241231.htm</x:v>
      </x:c>
      <x:c r="F6" s="17" t="str">
        <x:v>2023-2024 history</x:v>
      </x:c>
      <x:c r="G6" s="17" t="str">
        <x:v>Used as prior-period cross-check.</x:v>
      </x:c>
    </x:row>
    <x:row r="7">
      <x:c r="A7" s="14" t="str">
        <x:v>S03</x:v>
      </x:c>
      <x:c r="B7" s="14" t="str">
        <x:v>nVent Q4 2025 earnings release</x:v>
      </x:c>
      <x:c r="C7" s="16" t="n">
        <x:v>46059</x:v>
      </x:c>
      <x:c r="D7" s="17" t="str">
        <x:v>/Users/zhangshuxin/Desktop/nVent_investment_research/sources/sec/NVT_2025_Q4_Press_Release.html</x:v>
      </x:c>
      <x:c r="E7" s="17" t="str">
        <x:v>https://www.sec.gov/Archives/edgar/data/1720635/000162828026005930/q42025nvtpressrelease.htm</x:v>
      </x:c>
      <x:c r="F7" s="17" t="str">
        <x:v>Quarterly segment history, adjusted EBIT, EPS and FCF</x:v>
      </x:c>
      <x:c r="G7" s="17" t="str">
        <x:v>Non-GAAP reconciliations.</x:v>
      </x:c>
    </x:row>
    <x:row r="8">
      <x:c r="A8" s="14" t="str">
        <x:v>S04</x:v>
      </x:c>
      <x:c r="B8" s="14" t="str">
        <x:v>nVent Q1 2026 Form 10-Q</x:v>
      </x:c>
      <x:c r="C8" s="16" t="n">
        <x:v>46143</x:v>
      </x:c>
      <x:c r="D8" s="17" t="str">
        <x:v>/Users/zhangshuxin/Desktop/nVent_investment_research/sources/sec/NVT_2026_Q1_10-Q.html</x:v>
      </x:c>
      <x:c r="E8" s="17" t="str">
        <x:v>https://www.sec.gov/Archives/edgar/data/1720635/000162828026029370/nvt-20260331.htm</x:v>
      </x:c>
      <x:c r="F8" s="17" t="str">
        <x:v>Debt, cash, PPA amortization and Q1 balance sheet</x:v>
      </x:c>
      <x:c r="G8" s="17" t="str">
        <x:v>Remaining performance obligations $2.591bn.</x:v>
      </x:c>
    </x:row>
    <x:row r="9">
      <x:c r="A9" s="14" t="str">
        <x:v>S05</x:v>
      </x:c>
      <x:c r="B9" s="14" t="str">
        <x:v>nVent Q1 2026 earnings deck</x:v>
      </x:c>
      <x:c r="C9" s="16" t="n">
        <x:v>46143</x:v>
      </x:c>
      <x:c r="D9" s="17" t="str">
        <x:v>/Users/zhangshuxin/Desktop/nVent_investment_research/sources/ir/NVT_2026_Q1_Earnings_Deck.pdf</x:v>
      </x:c>
      <x:c r="E9" s="17" t="str">
        <x:v>https://s22.q4cdn.com/268397047/files/doc_financials/2026/q1/2026-Q1-Earnings-Deck.pdf</x:v>
      </x:c>
      <x:c r="F9" s="17" t="str">
        <x:v>Q1 actuals, 2026 guidance, vertical mix</x:v>
      </x:c>
      <x:c r="G9" s="17" t="str">
        <x:v>Company guidance is the starting point for 2026E.</x:v>
      </x:c>
    </x:row>
    <x:row r="10">
      <x:c r="A10" s="14" t="str">
        <x:v>S06</x:v>
      </x:c>
      <x:c r="B10" s="14" t="str">
        <x:v>nVent 2026 Investor Day presentation</x:v>
      </x:c>
      <x:c r="C10" s="16" t="n">
        <x:v>46099</x:v>
      </x:c>
      <x:c r="D10" s="17" t="str">
        <x:v>/Users/zhangshuxin/Desktop/nVent_investment_research/sources/ir/NVT_2026_Investor_Day_Presentation.pdf</x:v>
      </x:c>
      <x:c r="E10" s="17" t="str">
        <x:v>https://s22.q4cdn.com/268397047/files/doc_downloads/2026/03/18/2026-NVT-Investor-Day-Presentation.pdf</x:v>
      </x:c>
      <x:c r="F10" s="17" t="str">
        <x:v>Mid-term targets, data-center products</x:v>
      </x:c>
      <x:c r="G10" s="17" t="str">
        <x:v>Management targets: 10%-13% organic CAGR and ~22% margin.</x:v>
      </x:c>
    </x:row>
    <x:row r="11">
      <x:c r="A11" s="14" t="str">
        <x:v>S07</x:v>
      </x:c>
      <x:c r="B11" s="14" t="str">
        <x:v>nVent 2026 Investor Day transcript</x:v>
      </x:c>
      <x:c r="C11" s="16" t="n">
        <x:v>46099</x:v>
      </x:c>
      <x:c r="D11" s="17" t="str">
        <x:v>/Users/zhangshuxin/Desktop/nVent_investment_research/sources/ir/NVT_2026_Investor_Day_Transcript.pdf</x:v>
      </x:c>
      <x:c r="E11" s="17" t="str">
        <x:v>https://s22.q4cdn.com/268397047/files/doc_downloads/2026/Investor-Day-Transcript.pdf</x:v>
      </x:c>
      <x:c r="F11" s="17" t="str">
        <x:v>Data-center revenue, white/gray mix, content/MW</x:v>
      </x:c>
      <x:c r="G11" s="17" t="str">
        <x:v>Data-center sales &gt;$1bn; 75%-80% white space; ~$1m/MW opportunity.</x:v>
      </x:c>
    </x:row>
    <x:row r="12">
      <x:c r="A12" s="14" t="str">
        <x:v>S08</x:v>
      </x:c>
      <x:c r="B12" s="14" t="str">
        <x:v>NVT valuation statistics</x:v>
      </x:c>
      <x:c r="C12" s="16" t="n">
        <x:v>46213</x:v>
      </x:c>
      <x:c r="D12" s="17" t="str"/>
      <x:c r="E12" s="17" t="str">
        <x:v>https://stockanalysis.com/stocks/nvt/statistics/</x:v>
      </x:c>
      <x:c r="F12" s="17" t="str">
        <x:v>NVT forward P/E and market snapshot</x:v>
      </x:c>
      <x:c r="G12" s="17" t="str">
        <x:v>Third-party S&amp;P Global data; update before final publication.</x:v>
      </x:c>
    </x:row>
    <x:row r="13">
      <x:c r="A13" s="14" t="str">
        <x:v>S09</x:v>
      </x:c>
      <x:c r="B13" s="14" t="str">
        <x:v>NVT consensus forecast</x:v>
      </x:c>
      <x:c r="C13" s="16" t="n">
        <x:v>46220</x:v>
      </x:c>
      <x:c r="D13" s="17" t="str"/>
      <x:c r="E13" s="17" t="str">
        <x:v>https://stockanalysis.com/stocks/nvt/forecast/</x:v>
      </x:c>
      <x:c r="F13" s="17" t="str">
        <x:v>2026/2027 revenue and EPS consensus</x:v>
      </x:c>
      <x:c r="G13" s="17" t="str">
        <x:v>Consensus: 2026 EPS $4.61; 2027 EPS $5.74.</x:v>
      </x:c>
    </x:row>
    <x:row r="14">
      <x:c r="A14" s="14" t="str">
        <x:v>S10</x:v>
      </x:c>
      <x:c r="B14" s="14" t="str">
        <x:v>VRT valuation statistics</x:v>
      </x:c>
      <x:c r="C14" s="16" t="n">
        <x:v>46219</x:v>
      </x:c>
      <x:c r="D14" s="17" t="str"/>
      <x:c r="E14" s="17" t="str">
        <x:v>https://stockanalysis.com/stocks/vrt/statistics/</x:v>
      </x:c>
      <x:c r="F14" s="17" t="str">
        <x:v>Comps forward P/E</x:v>
      </x:c>
      <x:c r="G14" s="17" t="str">
        <x:v>Updateable market input.</x:v>
      </x:c>
    </x:row>
    <x:row r="15">
      <x:c r="A15" s="14" t="str">
        <x:v>S11</x:v>
      </x:c>
      <x:c r="B15" s="14" t="str">
        <x:v>ETN forward P/E</x:v>
      </x:c>
      <x:c r="C15" s="16" t="n">
        <x:v>46223</x:v>
      </x:c>
      <x:c r="D15" s="17" t="str"/>
      <x:c r="E15" s="17" t="str">
        <x:v>https://www.gurufocus.com/term/forward-pe-ratio/ETN</x:v>
      </x:c>
      <x:c r="F15" s="17" t="str">
        <x:v>Comps forward P/E</x:v>
      </x:c>
      <x:c r="G15" s="17" t="str">
        <x:v>Updateable market input.</x:v>
      </x:c>
    </x:row>
    <x:row r="16">
      <x:c r="A16" s="14" t="str">
        <x:v>S12</x:v>
      </x:c>
      <x:c r="B16" s="14" t="str">
        <x:v>HUBB forward P/E</x:v>
      </x:c>
      <x:c r="C16" s="16" t="n">
        <x:v>46220</x:v>
      </x:c>
      <x:c r="D16" s="17" t="str"/>
      <x:c r="E16" s="17" t="str">
        <x:v>https://www.financecharts.com/stocks/HUBB/value/pe-ratio</x:v>
      </x:c>
      <x:c r="F16" s="17" t="str">
        <x:v>Comps forward P/E</x:v>
      </x:c>
      <x:c r="G16" s="17" t="str">
        <x:v>Updateable market input.</x:v>
      </x:c>
    </x:row>
    <x:row r="17">
      <x:c r="A17" s="14" t="str">
        <x:v>S13</x:v>
      </x:c>
      <x:c r="B17" s="14" t="str">
        <x:v>ABB forward P/E</x:v>
      </x:c>
      <x:c r="C17" s="16" t="n">
        <x:v>46218</x:v>
      </x:c>
      <x:c r="D17" s="17" t="str"/>
      <x:c r="E17" s="17" t="str">
        <x:v>https://valueinvesting.io/ABBN.SW/metric/forward-pe</x:v>
      </x:c>
      <x:c r="F17" s="17" t="str">
        <x:v>Comps forward P/E</x:v>
      </x:c>
      <x:c r="G17" s="17" t="str">
        <x:v>Swiss listing; updateable market input.</x:v>
      </x:c>
    </x:row>
    <x:row r="18">
      <x:c r="A18" s="14" t="str">
        <x:v>S14</x:v>
      </x:c>
      <x:c r="B18" s="14" t="str">
        <x:v>Legrand valuation statistics</x:v>
      </x:c>
      <x:c r="C18" s="16" t="n">
        <x:v>46220</x:v>
      </x:c>
      <x:c r="D18" s="17" t="str"/>
      <x:c r="E18" s="17" t="str">
        <x:v>https://stockanalysis.com/quote/epa/LR/statistics/</x:v>
      </x:c>
      <x:c r="F18" s="17" t="str">
        <x:v>Comps forward P/E</x:v>
      </x:c>
      <x:c r="G18" s="17" t="str">
        <x:v>EUR listing; P/E avoids FX conversion.</x:v>
      </x:c>
    </x:row>
    <x:row r="19">
      <x:c r="A19" s="14" t="str">
        <x:v>S15</x:v>
      </x:c>
      <x:c r="B19" s="14" t="str">
        <x:v>Atkore valuation snapshot</x:v>
      </x:c>
      <x:c r="C19" s="16" t="n">
        <x:v>46220</x:v>
      </x:c>
      <x:c r="D19" s="17" t="str"/>
      <x:c r="E19" s="17" t="str">
        <x:v>https://stockanalysis.com/stocks/atkr/</x:v>
      </x:c>
      <x:c r="F19" s="17" t="str">
        <x:v>Comps forward P/E</x:v>
      </x:c>
      <x:c r="G19" s="17" t="str">
        <x:v>Shown as cyclical reference; excluded from core median.</x:v>
      </x:c>
    </x:row>
  </x:sheetData>
  <x:mergeCells>
    <x:mergeCell ref="A1:G1"/>
    <x:mergeCell ref="A2:G2"/>
  </x:mergeCells>
  <x:pageMargins left="0.7" right="0.7" top="0.75" bottom="0.75" header="0.3" footer="0.3"/>
</x:worksheet>
</file>